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yr\Unimater\orcamarcenaria_tcc\orcamarcenaria_tcc\evidencias\testes\"/>
    </mc:Choice>
  </mc:AlternateContent>
  <xr:revisionPtr revIDLastSave="0" documentId="13_ncr:1_{41C39014-83B9-47B4-8E62-9CF883459E8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struções" sheetId="1" r:id="rId1"/>
    <sheet name="Resumo" sheetId="2" r:id="rId2"/>
    <sheet name="CT01" sheetId="3" r:id="rId3"/>
    <sheet name="CT02" sheetId="4" r:id="rId4"/>
    <sheet name="CT03" sheetId="5" r:id="rId5"/>
    <sheet name="CT04" sheetId="6" r:id="rId6"/>
    <sheet name="CT05" sheetId="7" r:id="rId7"/>
    <sheet name="CT06" sheetId="8" r:id="rId8"/>
    <sheet name="CT07" sheetId="9" r:id="rId9"/>
    <sheet name="CT08" sheetId="10" r:id="rId10"/>
    <sheet name="CT09" sheetId="11" r:id="rId11"/>
    <sheet name="CT1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B20" i="12"/>
  <c r="D20" i="12" s="1"/>
  <c r="B19" i="12"/>
  <c r="D19" i="12" s="1"/>
  <c r="B18" i="12"/>
  <c r="B21" i="12" s="1"/>
  <c r="E10" i="12"/>
  <c r="B21" i="11"/>
  <c r="D21" i="11" s="1"/>
  <c r="B20" i="11"/>
  <c r="D20" i="11" s="1"/>
  <c r="B19" i="11"/>
  <c r="D19" i="11" s="1"/>
  <c r="E11" i="11"/>
  <c r="E10" i="11"/>
  <c r="B31" i="10"/>
  <c r="D31" i="10" s="1"/>
  <c r="B30" i="10"/>
  <c r="D30" i="10" s="1"/>
  <c r="B29" i="10"/>
  <c r="D29" i="10" s="1"/>
  <c r="E21" i="10"/>
  <c r="E20" i="10"/>
  <c r="E19" i="10"/>
  <c r="E18" i="10"/>
  <c r="E17" i="10"/>
  <c r="E16" i="10"/>
  <c r="E15" i="10"/>
  <c r="E14" i="10"/>
  <c r="E13" i="10"/>
  <c r="E12" i="10"/>
  <c r="E11" i="10"/>
  <c r="E10" i="10"/>
  <c r="B21" i="9"/>
  <c r="D21" i="9" s="1"/>
  <c r="B20" i="9"/>
  <c r="D20" i="9" s="1"/>
  <c r="B19" i="9"/>
  <c r="D19" i="9" s="1"/>
  <c r="E10" i="9"/>
  <c r="D21" i="8"/>
  <c r="B21" i="8"/>
  <c r="B19" i="8"/>
  <c r="D19" i="8" s="1"/>
  <c r="E11" i="8"/>
  <c r="B20" i="8" s="1"/>
  <c r="D20" i="8" s="1"/>
  <c r="E10" i="8"/>
  <c r="B21" i="7"/>
  <c r="D21" i="7" s="1"/>
  <c r="B20" i="7"/>
  <c r="D20" i="7" s="1"/>
  <c r="E11" i="7"/>
  <c r="B19" i="7" s="1"/>
  <c r="E10" i="7"/>
  <c r="B26" i="6"/>
  <c r="D26" i="6" s="1"/>
  <c r="B25" i="6"/>
  <c r="D25" i="6" s="1"/>
  <c r="B24" i="6"/>
  <c r="B27" i="6" s="1"/>
  <c r="E15" i="6"/>
  <c r="E14" i="6"/>
  <c r="E13" i="6"/>
  <c r="E12" i="6"/>
  <c r="E11" i="6"/>
  <c r="E10" i="6"/>
  <c r="D26" i="5"/>
  <c r="B26" i="5"/>
  <c r="B25" i="5"/>
  <c r="D25" i="5" s="1"/>
  <c r="E15" i="5"/>
  <c r="E14" i="5"/>
  <c r="E13" i="5"/>
  <c r="E12" i="5"/>
  <c r="E11" i="5"/>
  <c r="E10" i="5"/>
  <c r="B24" i="5" s="1"/>
  <c r="D20" i="4"/>
  <c r="B20" i="4"/>
  <c r="B19" i="4"/>
  <c r="D19" i="4" s="1"/>
  <c r="E10" i="4"/>
  <c r="B18" i="4" s="1"/>
  <c r="B20" i="3"/>
  <c r="D20" i="3" s="1"/>
  <c r="B19" i="3"/>
  <c r="D19" i="3" s="1"/>
  <c r="E10" i="3"/>
  <c r="B18" i="3" s="1"/>
  <c r="B21" i="3" l="1"/>
  <c r="D18" i="3"/>
  <c r="C10" i="2"/>
  <c r="D27" i="6"/>
  <c r="B28" i="6"/>
  <c r="D19" i="7"/>
  <c r="B22" i="7"/>
  <c r="D18" i="4"/>
  <c r="B21" i="4"/>
  <c r="B22" i="12"/>
  <c r="D21" i="12"/>
  <c r="C16" i="2"/>
  <c r="D24" i="5"/>
  <c r="B27" i="5"/>
  <c r="D18" i="12"/>
  <c r="B32" i="10"/>
  <c r="D24" i="6"/>
  <c r="B22" i="11"/>
  <c r="B22" i="8"/>
  <c r="B22" i="9"/>
  <c r="B31" i="6" l="1"/>
  <c r="D10" i="2"/>
  <c r="B29" i="6"/>
  <c r="D29" i="6" s="1"/>
  <c r="D28" i="6"/>
  <c r="B23" i="9"/>
  <c r="C13" i="2"/>
  <c r="D22" i="9"/>
  <c r="B22" i="4"/>
  <c r="D21" i="4"/>
  <c r="C8" i="2"/>
  <c r="C15" i="2"/>
  <c r="B23" i="11"/>
  <c r="D22" i="11"/>
  <c r="C7" i="2"/>
  <c r="B22" i="3"/>
  <c r="D21" i="3"/>
  <c r="B25" i="12"/>
  <c r="B23" i="12"/>
  <c r="D23" i="12" s="1"/>
  <c r="D22" i="12"/>
  <c r="D16" i="2"/>
  <c r="B23" i="7"/>
  <c r="D22" i="7"/>
  <c r="C11" i="2"/>
  <c r="B23" i="8"/>
  <c r="D22" i="8"/>
  <c r="C12" i="2"/>
  <c r="B33" i="10"/>
  <c r="C14" i="2"/>
  <c r="D32" i="10"/>
  <c r="C9" i="2"/>
  <c r="B28" i="5"/>
  <c r="D27" i="5"/>
  <c r="B23" i="4" l="1"/>
  <c r="D23" i="4" s="1"/>
  <c r="D22" i="4"/>
  <c r="D8" i="2"/>
  <c r="B25" i="4"/>
  <c r="B26" i="8"/>
  <c r="B24" i="8"/>
  <c r="D24" i="8" s="1"/>
  <c r="D23" i="8"/>
  <c r="D12" i="2"/>
  <c r="D25" i="12"/>
  <c r="B24" i="12"/>
  <c r="D24" i="12" s="1"/>
  <c r="H16" i="2" s="1"/>
  <c r="E16" i="2"/>
  <c r="G16" i="2" s="1"/>
  <c r="B24" i="9"/>
  <c r="D24" i="9" s="1"/>
  <c r="D23" i="9"/>
  <c r="D13" i="2"/>
  <c r="B26" i="9"/>
  <c r="B36" i="10"/>
  <c r="B34" i="10"/>
  <c r="D34" i="10" s="1"/>
  <c r="D33" i="10"/>
  <c r="D14" i="2"/>
  <c r="B26" i="11"/>
  <c r="B24" i="11"/>
  <c r="D24" i="11" s="1"/>
  <c r="D23" i="11"/>
  <c r="D15" i="2"/>
  <c r="D9" i="2"/>
  <c r="B29" i="5"/>
  <c r="D29" i="5" s="1"/>
  <c r="D28" i="5"/>
  <c r="B31" i="5"/>
  <c r="B26" i="7"/>
  <c r="B24" i="7"/>
  <c r="D24" i="7" s="1"/>
  <c r="D23" i="7"/>
  <c r="D11" i="2"/>
  <c r="D7" i="2"/>
  <c r="B23" i="3"/>
  <c r="D23" i="3" s="1"/>
  <c r="D22" i="3"/>
  <c r="B25" i="3"/>
  <c r="D31" i="6"/>
  <c r="E10" i="2"/>
  <c r="G10" i="2" s="1"/>
  <c r="B30" i="6"/>
  <c r="D30" i="6" s="1"/>
  <c r="B25" i="8" l="1"/>
  <c r="D25" i="8" s="1"/>
  <c r="H12" i="2" s="1"/>
  <c r="E12" i="2"/>
  <c r="G12" i="2" s="1"/>
  <c r="D26" i="8"/>
  <c r="D26" i="11"/>
  <c r="B25" i="11"/>
  <c r="D25" i="11" s="1"/>
  <c r="H15" i="2" s="1"/>
  <c r="E15" i="2"/>
  <c r="G15" i="2" s="1"/>
  <c r="E9" i="2"/>
  <c r="G9" i="2" s="1"/>
  <c r="B30" i="5"/>
  <c r="D30" i="5" s="1"/>
  <c r="H9" i="2" s="1"/>
  <c r="D31" i="5"/>
  <c r="E8" i="2"/>
  <c r="G8" i="2" s="1"/>
  <c r="D25" i="4"/>
  <c r="B24" i="4"/>
  <c r="D24" i="4" s="1"/>
  <c r="H8" i="2" s="1"/>
  <c r="B24" i="3"/>
  <c r="D24" i="3" s="1"/>
  <c r="D25" i="3"/>
  <c r="E7" i="2"/>
  <c r="G7" i="2" s="1"/>
  <c r="D36" i="10"/>
  <c r="B35" i="10"/>
  <c r="D35" i="10" s="1"/>
  <c r="H14" i="2" s="1"/>
  <c r="E14" i="2"/>
  <c r="G14" i="2" s="1"/>
  <c r="H10" i="2"/>
  <c r="E13" i="2"/>
  <c r="G13" i="2" s="1"/>
  <c r="D26" i="9"/>
  <c r="B25" i="9"/>
  <c r="D25" i="9" s="1"/>
  <c r="H13" i="2" s="1"/>
  <c r="B25" i="7"/>
  <c r="D25" i="7" s="1"/>
  <c r="H11" i="2" s="1"/>
  <c r="E11" i="2"/>
  <c r="G11" i="2" s="1"/>
  <c r="D26" i="7"/>
  <c r="H17" i="2" l="1"/>
  <c r="G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2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2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3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3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26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26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26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36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26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OrçaMarcenaria</author>
  </authors>
  <commentList>
    <comment ref="C2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Valor de referência do CSV (qualidade-e-testes.md §3).</t>
        </r>
      </text>
    </comment>
  </commentList>
</comments>
</file>

<file path=xl/sharedStrings.xml><?xml version="1.0" encoding="utf-8"?>
<sst xmlns="http://schemas.openxmlformats.org/spreadsheetml/2006/main" count="414" uniqueCount="113">
  <si>
    <t>Conferência dos dez casos de teste do cálculo (B08)</t>
  </si>
  <si>
    <t>OrçaMarcenaria — TCC de Taiane Queirós Rufatto. Fonte dos dados: evidencias/testes/casos-de-teste-referencia.csv.</t>
  </si>
  <si>
    <t>Como conferir</t>
  </si>
  <si>
    <t>1. Abra cada aba CT01 a CT10. As células em azul são os dados do caso (vieram do CSV); todas as demais são fórmulas.</t>
  </si>
  <si>
    <t>2. Clique nas fórmulas e confira se seguem as regras abaixo (regras-de-calculo.md §2). Se quiser, refaça alguma conta na calculadora.</t>
  </si>
  <si>
    <t>3. Na aba Resumo, a coluna "Situação" mostra "Confere" quando a planilha chega exatamente ao valor de referência.</t>
  </si>
  <si>
    <t>4. Preencha as células em amarelo da aba Resumo (quem conferiu e a data). Com isso, o B08 fica resolvido.</t>
  </si>
  <si>
    <t>Legenda de cores</t>
  </si>
  <si>
    <t>Azul: dado de entrada do caso (do CSV)  ·  Preto: fórmula  ·  Verde: fórmula que busca outra aba  ·  Amarelo: você preenche</t>
  </si>
  <si>
    <t>Regras usadas nas fórmulas (regras-de-calculo.md)</t>
  </si>
  <si>
    <t>Passos 1 e 2 — Valor da linha = ARRED(quantidade × valor unitário; 2)  (RN01, RN02)</t>
  </si>
  <si>
    <t>Passos 3 a 5 — Subtotal de materiais, de serviços e total de adicionais = soma das linhas já arredondadas  (RN-C03, RN04)</t>
  </si>
  <si>
    <t>Passo 6 — Custo direto total = materiais + serviços + adicionais</t>
  </si>
  <si>
    <t>Passo 7 — Margem: ARRED(custo ÷ (1 − p/100); 2)   ·   Markup: ARRED(custo × (1 + p/100); 2)  (RN05, RN06)</t>
  </si>
  <si>
    <t>Passo 8 — Lucro = preço bruto − custo direto</t>
  </si>
  <si>
    <t>Passo 9 — duas_casas: mantém · real_inteiro: ARREDONDAR.PARA.CIMA(bruto; 0) · dezena: ARREDONDAR.PARA.CIMA(bruto ÷ 10; 0) × 10  (RN07)</t>
  </si>
  <si>
    <t>O percentual está em pontos percentuais (30 = 30%), como em regras-de-calculo.md §1.</t>
  </si>
  <si>
    <t>Observação importante</t>
  </si>
  <si>
    <t>A planilha calcula com o ponto flutuante do Excel; o sistema usa decimal exato. Se algum caso mostrar "DIVERGE", anote e avise antes de corrigir qualquer coisa.</t>
  </si>
  <si>
    <t>Resumo da conferência dos dez casos</t>
  </si>
  <si>
    <t>Conferido por</t>
  </si>
  <si>
    <t>Preencha as células em amarelo ao terminar a conferência.</t>
  </si>
  <si>
    <t>Data da conferência</t>
  </si>
  <si>
    <t>Caso</t>
  </si>
  <si>
    <t>Descrição</t>
  </si>
  <si>
    <t>Custo direto (planilha)</t>
  </si>
  <si>
    <t>Preço bruto (planilha)</t>
  </si>
  <si>
    <t>Preço final (planilha)</t>
  </si>
  <si>
    <t>Preço final (referência)</t>
  </si>
  <si>
    <t>Diferença</t>
  </si>
  <si>
    <t>Situação</t>
  </si>
  <si>
    <t>CT01</t>
  </si>
  <si>
    <t>Um material, sem serviço e sem adicional, lucro zero</t>
  </si>
  <si>
    <t>CT02</t>
  </si>
  <si>
    <t>Quantidade fracionada de chapa, margem 30%</t>
  </si>
  <si>
    <t>CT03</t>
  </si>
  <si>
    <t>Orçamento completo (exemplo de referência), margem 30%, dezena</t>
  </si>
  <si>
    <t>CT04</t>
  </si>
  <si>
    <t>Mesmo custo do CT03 com markup 30% (comparação de modos)</t>
  </si>
  <si>
    <t>CT05</t>
  </si>
  <si>
    <t>Arredondamento meio para cima na linha (4,5 x 1,2350 = 5,5575)</t>
  </si>
  <si>
    <t>CT06</t>
  </si>
  <si>
    <t>Somente serviços, markup 50%, arredondamento em real inteiro</t>
  </si>
  <si>
    <t>CT07</t>
  </si>
  <si>
    <t>Um item e dois custos adicionais, margem 45%, dezena</t>
  </si>
  <si>
    <t>CT08</t>
  </si>
  <si>
    <t>Doze itens, margem 25%, duas casas</t>
  </si>
  <si>
    <t>CT09</t>
  </si>
  <si>
    <t>Margem alta (60%) com arredondamento em real inteiro</t>
  </si>
  <si>
    <t>CT10</t>
  </si>
  <si>
    <t>Valores mínimos: um serviço de 0,5 hora, markup 0%</t>
  </si>
  <si>
    <t>Total</t>
  </si>
  <si>
    <t>CT01 — Um material, sem serviço e sem adicional, lucro zero</t>
  </si>
  <si>
    <t>Modo de lucro</t>
  </si>
  <si>
    <t>margem</t>
  </si>
  <si>
    <t>Percentual de lucro (pontos %)</t>
  </si>
  <si>
    <t>Regra de arredondamento</t>
  </si>
  <si>
    <t>duas_casas</t>
  </si>
  <si>
    <t>Itens (passos 1 e 2)</t>
  </si>
  <si>
    <t>Tipo</t>
  </si>
  <si>
    <t>Quantidade</t>
  </si>
  <si>
    <t>Valor unitário</t>
  </si>
  <si>
    <t>Valor da linha</t>
  </si>
  <si>
    <t>material</t>
  </si>
  <si>
    <t>MDF 18mm</t>
  </si>
  <si>
    <t>Custos adicionais (passo 5)</t>
  </si>
  <si>
    <t>Valor</t>
  </si>
  <si>
    <t>(nenhum)</t>
  </si>
  <si>
    <t>Fechamento (passos 3 a 9)</t>
  </si>
  <si>
    <t>Etapa</t>
  </si>
  <si>
    <t>Planilha</t>
  </si>
  <si>
    <t>Referência (CSV)</t>
  </si>
  <si>
    <t>Subtotal de materiais</t>
  </si>
  <si>
    <t>Subtotal de serviços</t>
  </si>
  <si>
    <t>Total de custos adicionais</t>
  </si>
  <si>
    <t>Custo direto total</t>
  </si>
  <si>
    <t>Preço bruto</t>
  </si>
  <si>
    <t>Valor do lucro</t>
  </si>
  <si>
    <t>Ajuste de arredondamento</t>
  </si>
  <si>
    <t>Preço final</t>
  </si>
  <si>
    <t>CT02 — Quantidade fracionada de chapa, margem 30%</t>
  </si>
  <si>
    <t>CT03 — Orçamento completo (exemplo de referência), margem 30%, dezena</t>
  </si>
  <si>
    <t>dezena</t>
  </si>
  <si>
    <t>Fita de borda</t>
  </si>
  <si>
    <t>Corrediça</t>
  </si>
  <si>
    <t>Dobradiça</t>
  </si>
  <si>
    <t>servico</t>
  </si>
  <si>
    <t>Corte e usinagem</t>
  </si>
  <si>
    <t>Montagem</t>
  </si>
  <si>
    <t>Frete</t>
  </si>
  <si>
    <t>Ferragens diversas</t>
  </si>
  <si>
    <t>CT04 — Mesmo custo do CT03 com markup 30% (comparação de modos)</t>
  </si>
  <si>
    <t>markup</t>
  </si>
  <si>
    <t>CT05 — Arredondamento meio para cima na linha (4,5 x 1,2350 = 5,5575)</t>
  </si>
  <si>
    <t>Cola PVA</t>
  </si>
  <si>
    <t>CT06 — Somente serviços, markup 50%, arredondamento em real inteiro</t>
  </si>
  <si>
    <t>real_inteiro</t>
  </si>
  <si>
    <t>Projeto 3D</t>
  </si>
  <si>
    <t>Instalação</t>
  </si>
  <si>
    <t>CT07 — Um item e dois custos adicionais, margem 45%, dezena</t>
  </si>
  <si>
    <t>Chapa MDP 15mm</t>
  </si>
  <si>
    <t>Deslocamento</t>
  </si>
  <si>
    <t>CT08 — Doze itens, margem 25%, duas casas</t>
  </si>
  <si>
    <t>MDF 6mm</t>
  </si>
  <si>
    <t>Puxador</t>
  </si>
  <si>
    <t>Parafuso 4x40 (cento)</t>
  </si>
  <si>
    <t>Pé regulável</t>
  </si>
  <si>
    <t>CT09 — Margem alta (60%) com arredondamento em real inteiro</t>
  </si>
  <si>
    <t>Lâmina de madeira nobre</t>
  </si>
  <si>
    <t>Acabamento manual</t>
  </si>
  <si>
    <t>CT10 — Valores mínimos: um serviço de 0,5 hora, markup 0%</t>
  </si>
  <si>
    <t>Ajuste de porta</t>
  </si>
  <si>
    <t>Taiane Rufatto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</si>
</sst>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&quot;R$&quot;\ #,##0.0000"/>
    <numFmt numFmtId="166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1E4D38"/>
      <name val="Arial"/>
    </font>
    <font>
      <sz val="11"/>
      <color rgb="FF000000"/>
      <name val="Arial"/>
    </font>
    <font>
      <b/>
      <sz val="11"/>
      <name val="Arial"/>
    </font>
    <font>
      <sz val="11"/>
      <color rgb="FF0000FF"/>
      <name val="Arial"/>
    </font>
    <font>
      <b/>
      <sz val="11"/>
      <color rgb="FFFFFFFF"/>
      <name val="Arial"/>
    </font>
    <font>
      <i/>
      <sz val="11"/>
      <color rgb="FF595959"/>
      <name val="Arial"/>
    </font>
    <font>
      <sz val="11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E4D3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2" fillId="4" borderId="1" xfId="0" applyFont="1" applyFill="1" applyBorder="1"/>
    <xf numFmtId="0" fontId="6" fillId="0" borderId="0" xfId="0" applyFont="1"/>
    <xf numFmtId="14" fontId="2" fillId="4" borderId="1" xfId="0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6" fontId="7" fillId="0" borderId="1" xfId="0" applyNumberFormat="1" applyFont="1" applyBorder="1"/>
    <xf numFmtId="166" fontId="4" fillId="0" borderId="1" xfId="0" applyNumberFormat="1" applyFont="1" applyBorder="1"/>
    <xf numFmtId="166" fontId="2" fillId="0" borderId="1" xfId="0" applyNumberFormat="1" applyFont="1" applyBorder="1"/>
    <xf numFmtId="166" fontId="3" fillId="2" borderId="1" xfId="0" applyNumberFormat="1" applyFont="1" applyFill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2" fillId="0" borderId="1" xfId="0" applyFont="1" applyBorder="1"/>
    <xf numFmtId="166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4.4" x14ac:dyDescent="0.3"/>
  <cols>
    <col min="1" max="1" width="140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/>
    </row>
    <row r="10" spans="1:1" x14ac:dyDescent="0.3">
      <c r="A10" s="3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3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/>
    </row>
    <row r="22" spans="1:1" x14ac:dyDescent="0.3">
      <c r="A22" s="3" t="s">
        <v>17</v>
      </c>
    </row>
    <row r="23" spans="1:1" x14ac:dyDescent="0.3">
      <c r="A23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workbookViewId="0">
      <pane ySplit="6" topLeftCell="A7" activePane="bottomLeft" state="frozen"/>
      <selection pane="bottomLeft" activeCell="B4" sqref="B4"/>
    </sheetView>
  </sheetViews>
  <sheetFormatPr defaultRowHeight="14.4" x14ac:dyDescent="0.3"/>
  <cols>
    <col min="1" max="1" width="35.5546875" customWidth="1"/>
    <col min="2" max="2" width="58" customWidth="1"/>
    <col min="3" max="5" width="20" customWidth="1"/>
    <col min="6" max="6" width="22" customWidth="1"/>
    <col min="7" max="7" width="14" customWidth="1"/>
    <col min="8" max="8" width="20" customWidth="1"/>
  </cols>
  <sheetData>
    <row r="1" spans="1:8" ht="17.399999999999999" x14ac:dyDescent="0.3">
      <c r="A1" s="1" t="s">
        <v>19</v>
      </c>
    </row>
    <row r="3" spans="1:8" x14ac:dyDescent="0.3">
      <c r="A3" s="4" t="s">
        <v>20</v>
      </c>
      <c r="B3" s="5" t="s">
        <v>112</v>
      </c>
      <c r="C3" s="6" t="s">
        <v>21</v>
      </c>
    </row>
    <row r="4" spans="1:8" x14ac:dyDescent="0.3">
      <c r="A4" s="4" t="s">
        <v>22</v>
      </c>
      <c r="B4" s="7">
        <v>46295</v>
      </c>
    </row>
    <row r="6" spans="1:8" ht="27.6" x14ac:dyDescent="0.3">
      <c r="A6" s="8" t="s">
        <v>23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</row>
    <row r="7" spans="1:8" x14ac:dyDescent="0.3">
      <c r="A7" s="9" t="s">
        <v>31</v>
      </c>
      <c r="B7" s="10" t="s">
        <v>32</v>
      </c>
      <c r="C7" s="11">
        <f>'CT01'!B21</f>
        <v>289.89999999999998</v>
      </c>
      <c r="D7" s="11">
        <f>'CT01'!B22</f>
        <v>289.89999999999998</v>
      </c>
      <c r="E7" s="11">
        <f>'CT01'!B25</f>
        <v>289.89999999999998</v>
      </c>
      <c r="F7" s="12">
        <v>289.89999999999998</v>
      </c>
      <c r="G7" s="13">
        <f t="shared" ref="G7:G16" si="0">ROUND(E7-F7,2)</f>
        <v>0</v>
      </c>
      <c r="H7" s="9" t="str">
        <f>IF(AND('CT01'!D18=0,'CT01'!D19=0,'CT01'!D20=0,'CT01'!D21=0,'CT01'!D22=0,'CT01'!D23=0,'CT01'!D24=0,'CT01'!D25=0),"Confere","DIVERGE")</f>
        <v>Confere</v>
      </c>
    </row>
    <row r="8" spans="1:8" x14ac:dyDescent="0.3">
      <c r="A8" s="9" t="s">
        <v>33</v>
      </c>
      <c r="B8" s="10" t="s">
        <v>34</v>
      </c>
      <c r="C8" s="11">
        <f>'CT02'!B21</f>
        <v>724.75</v>
      </c>
      <c r="D8" s="11">
        <f>'CT02'!B22</f>
        <v>1035.3599999999999</v>
      </c>
      <c r="E8" s="11">
        <f>'CT02'!B25</f>
        <v>1035.3599999999999</v>
      </c>
      <c r="F8" s="12">
        <v>1035.3599999999999</v>
      </c>
      <c r="G8" s="13">
        <f t="shared" si="0"/>
        <v>0</v>
      </c>
      <c r="H8" s="9" t="str">
        <f>IF(AND('CT02'!D18=0,'CT02'!D19=0,'CT02'!D20=0,'CT02'!D21=0,'CT02'!D22=0,'CT02'!D23=0,'CT02'!D24=0,'CT02'!D25=0),"Confere","DIVERGE")</f>
        <v>Confere</v>
      </c>
    </row>
    <row r="9" spans="1:8" x14ac:dyDescent="0.3">
      <c r="A9" s="9" t="s">
        <v>35</v>
      </c>
      <c r="B9" s="10" t="s">
        <v>36</v>
      </c>
      <c r="C9" s="11">
        <f>'CT03'!B27</f>
        <v>1931.1</v>
      </c>
      <c r="D9" s="11">
        <f>'CT03'!B28</f>
        <v>2758.71</v>
      </c>
      <c r="E9" s="11">
        <f>'CT03'!B31</f>
        <v>2760</v>
      </c>
      <c r="F9" s="12">
        <v>2760</v>
      </c>
      <c r="G9" s="13">
        <f t="shared" si="0"/>
        <v>0</v>
      </c>
      <c r="H9" s="9" t="str">
        <f>IF(AND('CT03'!D24=0,'CT03'!D25=0,'CT03'!D26=0,'CT03'!D27=0,'CT03'!D28=0,'CT03'!D29=0,'CT03'!D30=0,'CT03'!D31=0),"Confere","DIVERGE")</f>
        <v>Confere</v>
      </c>
    </row>
    <row r="10" spans="1:8" x14ac:dyDescent="0.3">
      <c r="A10" s="9" t="s">
        <v>37</v>
      </c>
      <c r="B10" s="10" t="s">
        <v>38</v>
      </c>
      <c r="C10" s="11">
        <f>'CT04'!B27</f>
        <v>1931.1</v>
      </c>
      <c r="D10" s="11">
        <f>'CT04'!B28</f>
        <v>2510.4299999999998</v>
      </c>
      <c r="E10" s="11">
        <f>'CT04'!B31</f>
        <v>2520</v>
      </c>
      <c r="F10" s="12">
        <v>2520</v>
      </c>
      <c r="G10" s="13">
        <f t="shared" si="0"/>
        <v>0</v>
      </c>
      <c r="H10" s="9" t="str">
        <f>IF(AND('CT04'!D24=0,'CT04'!D25=0,'CT04'!D26=0,'CT04'!D27=0,'CT04'!D28=0,'CT04'!D29=0,'CT04'!D30=0,'CT04'!D31=0),"Confere","DIVERGE")</f>
        <v>Confere</v>
      </c>
    </row>
    <row r="11" spans="1:8" x14ac:dyDescent="0.3">
      <c r="A11" s="9" t="s">
        <v>39</v>
      </c>
      <c r="B11" s="10" t="s">
        <v>40</v>
      </c>
      <c r="C11" s="11">
        <f>'CT05'!B22</f>
        <v>41.550000000000004</v>
      </c>
      <c r="D11" s="11">
        <f>'CT05'!B23</f>
        <v>51.94</v>
      </c>
      <c r="E11" s="11">
        <f>'CT05'!B26</f>
        <v>51.94</v>
      </c>
      <c r="F11" s="12">
        <v>51.94</v>
      </c>
      <c r="G11" s="13">
        <f t="shared" si="0"/>
        <v>0</v>
      </c>
      <c r="H11" s="9" t="str">
        <f>IF(AND('CT05'!D19=0,'CT05'!D20=0,'CT05'!D21=0,'CT05'!D22=0,'CT05'!D23=0,'CT05'!D24=0,'CT05'!D25=0,'CT05'!D26=0),"Confere","DIVERGE")</f>
        <v>Confere</v>
      </c>
    </row>
    <row r="12" spans="1:8" x14ac:dyDescent="0.3">
      <c r="A12" s="9" t="s">
        <v>41</v>
      </c>
      <c r="B12" s="10" t="s">
        <v>42</v>
      </c>
      <c r="C12" s="11">
        <f>'CT06'!B22</f>
        <v>622.5</v>
      </c>
      <c r="D12" s="11">
        <f>'CT06'!B23</f>
        <v>933.75</v>
      </c>
      <c r="E12" s="11">
        <f>'CT06'!B26</f>
        <v>934</v>
      </c>
      <c r="F12" s="12">
        <v>934</v>
      </c>
      <c r="G12" s="13">
        <f t="shared" si="0"/>
        <v>0</v>
      </c>
      <c r="H12" s="9" t="str">
        <f>IF(AND('CT06'!D19=0,'CT06'!D20=0,'CT06'!D21=0,'CT06'!D22=0,'CT06'!D23=0,'CT06'!D24=0,'CT06'!D25=0,'CT06'!D26=0),"Confere","DIVERGE")</f>
        <v>Confere</v>
      </c>
    </row>
    <row r="13" spans="1:8" x14ac:dyDescent="0.3">
      <c r="A13" s="9" t="s">
        <v>43</v>
      </c>
      <c r="B13" s="10" t="s">
        <v>44</v>
      </c>
      <c r="C13" s="11">
        <f>'CT07'!B22</f>
        <v>746.25</v>
      </c>
      <c r="D13" s="11">
        <f>'CT07'!B23</f>
        <v>1356.82</v>
      </c>
      <c r="E13" s="11">
        <f>'CT07'!B26</f>
        <v>1360</v>
      </c>
      <c r="F13" s="12">
        <v>1360</v>
      </c>
      <c r="G13" s="13">
        <f t="shared" si="0"/>
        <v>0</v>
      </c>
      <c r="H13" s="9" t="str">
        <f>IF(AND('CT07'!D19=0,'CT07'!D20=0,'CT07'!D21=0,'CT07'!D22=0,'CT07'!D23=0,'CT07'!D24=0,'CT07'!D25=0,'CT07'!D26=0),"Confere","DIVERGE")</f>
        <v>Confere</v>
      </c>
    </row>
    <row r="14" spans="1:8" x14ac:dyDescent="0.3">
      <c r="A14" s="9" t="s">
        <v>45</v>
      </c>
      <c r="B14" s="10" t="s">
        <v>46</v>
      </c>
      <c r="C14" s="11">
        <f>'CT08'!B32</f>
        <v>3832.57</v>
      </c>
      <c r="D14" s="11">
        <f>'CT08'!B33</f>
        <v>5110.09</v>
      </c>
      <c r="E14" s="11">
        <f>'CT08'!B36</f>
        <v>5110.09</v>
      </c>
      <c r="F14" s="12">
        <v>5110.09</v>
      </c>
      <c r="G14" s="13">
        <f t="shared" si="0"/>
        <v>0</v>
      </c>
      <c r="H14" s="9" t="str">
        <f>IF(AND('CT08'!D29=0,'CT08'!D30=0,'CT08'!D31=0,'CT08'!D32=0,'CT08'!D33=0,'CT08'!D34=0,'CT08'!D35=0,'CT08'!D36=0),"Confere","DIVERGE")</f>
        <v>Confere</v>
      </c>
    </row>
    <row r="15" spans="1:8" x14ac:dyDescent="0.3">
      <c r="A15" s="9" t="s">
        <v>47</v>
      </c>
      <c r="B15" s="10" t="s">
        <v>48</v>
      </c>
      <c r="C15" s="11">
        <f>'CT09'!B22</f>
        <v>1392.74</v>
      </c>
      <c r="D15" s="11">
        <f>'CT09'!B23</f>
        <v>3481.85</v>
      </c>
      <c r="E15" s="11">
        <f>'CT09'!B26</f>
        <v>3482</v>
      </c>
      <c r="F15" s="12">
        <v>3482</v>
      </c>
      <c r="G15" s="13">
        <f t="shared" si="0"/>
        <v>0</v>
      </c>
      <c r="H15" s="9" t="str">
        <f>IF(AND('CT09'!D19=0,'CT09'!D20=0,'CT09'!D21=0,'CT09'!D22=0,'CT09'!D23=0,'CT09'!D24=0,'CT09'!D25=0,'CT09'!D26=0),"Confere","DIVERGE")</f>
        <v>Confere</v>
      </c>
    </row>
    <row r="16" spans="1:8" x14ac:dyDescent="0.3">
      <c r="A16" s="9" t="s">
        <v>49</v>
      </c>
      <c r="B16" s="10" t="s">
        <v>50</v>
      </c>
      <c r="C16" s="11">
        <f>'CT10'!B21</f>
        <v>22.5</v>
      </c>
      <c r="D16" s="11">
        <f>'CT10'!B22</f>
        <v>22.5</v>
      </c>
      <c r="E16" s="11">
        <f>'CT10'!B25</f>
        <v>22.5</v>
      </c>
      <c r="F16" s="12">
        <v>22.5</v>
      </c>
      <c r="G16" s="13">
        <f t="shared" si="0"/>
        <v>0</v>
      </c>
      <c r="H16" s="9" t="str">
        <f>IF(AND('CT10'!D18=0,'CT10'!D19=0,'CT10'!D20=0,'CT10'!D21=0,'CT10'!D22=0,'CT10'!D23=0,'CT10'!D24=0,'CT10'!D25=0),"Confere","DIVERGE")</f>
        <v>Confere</v>
      </c>
    </row>
    <row r="17" spans="1:8" x14ac:dyDescent="0.3">
      <c r="A17" s="4" t="s">
        <v>51</v>
      </c>
      <c r="G17" s="14">
        <f>SUM(G7:G16)</f>
        <v>0</v>
      </c>
      <c r="H17" s="4" t="str">
        <f>COUNTIF(H7:H16,"Confere")&amp;" de 10 conferem"</f>
        <v>10 de 10 conferem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pane ySplit="2" topLeftCell="A3" activePane="bottomLeft" state="frozen"/>
      <selection pane="bottomLeft" activeCell="D25" sqref="D25"/>
    </sheetView>
  </sheetViews>
  <sheetFormatPr defaultRowHeight="14.4" x14ac:dyDescent="0.3"/>
  <cols>
    <col min="1" max="1" width="36.6640625" customWidth="1"/>
    <col min="2" max="2" width="34" customWidth="1"/>
    <col min="3" max="4" width="18" customWidth="1"/>
    <col min="5" max="5" width="16" customWidth="1"/>
  </cols>
  <sheetData>
    <row r="1" spans="1:5" ht="17.399999999999999" x14ac:dyDescent="0.3">
      <c r="A1" s="1" t="s">
        <v>52</v>
      </c>
    </row>
    <row r="3" spans="1:5" x14ac:dyDescent="0.3">
      <c r="A3" s="4" t="s">
        <v>53</v>
      </c>
      <c r="B3" s="10" t="s">
        <v>54</v>
      </c>
    </row>
    <row r="4" spans="1:5" x14ac:dyDescent="0.3">
      <c r="A4" s="4" t="s">
        <v>55</v>
      </c>
      <c r="B4" s="15">
        <v>0</v>
      </c>
    </row>
    <row r="5" spans="1:5" x14ac:dyDescent="0.3">
      <c r="A5" s="4" t="s">
        <v>56</v>
      </c>
      <c r="B5" s="10" t="s">
        <v>57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63</v>
      </c>
      <c r="B10" s="10" t="s">
        <v>64</v>
      </c>
      <c r="C10" s="16">
        <v>1</v>
      </c>
      <c r="D10" s="17">
        <v>289.89999999999998</v>
      </c>
      <c r="E10" s="13">
        <f>ROUND(C10*D10,2)</f>
        <v>289.89999999999998</v>
      </c>
    </row>
    <row r="12" spans="1:5" x14ac:dyDescent="0.3">
      <c r="A12" s="3" t="s">
        <v>65</v>
      </c>
    </row>
    <row r="13" spans="1:5" x14ac:dyDescent="0.3">
      <c r="A13" s="8" t="s">
        <v>24</v>
      </c>
      <c r="B13" s="8" t="s">
        <v>66</v>
      </c>
    </row>
    <row r="14" spans="1:5" x14ac:dyDescent="0.3">
      <c r="A14" s="10" t="s">
        <v>67</v>
      </c>
      <c r="B14" s="12">
        <v>0</v>
      </c>
    </row>
    <row r="16" spans="1:5" x14ac:dyDescent="0.3">
      <c r="A16" s="3" t="s">
        <v>68</v>
      </c>
    </row>
    <row r="17" spans="1:4" x14ac:dyDescent="0.3">
      <c r="A17" s="8" t="s">
        <v>69</v>
      </c>
      <c r="B17" s="8" t="s">
        <v>70</v>
      </c>
      <c r="C17" s="8" t="s">
        <v>71</v>
      </c>
      <c r="D17" s="8" t="s">
        <v>29</v>
      </c>
    </row>
    <row r="18" spans="1:4" x14ac:dyDescent="0.3">
      <c r="A18" s="18" t="s">
        <v>72</v>
      </c>
      <c r="B18" s="13">
        <f>SUMIF($A$10:$A$10,"material",$E$10:$E$10)</f>
        <v>289.89999999999998</v>
      </c>
      <c r="C18" s="12">
        <v>289.89999999999998</v>
      </c>
      <c r="D18" s="13">
        <f t="shared" ref="D18:D25" si="0">ROUND(B18-C18,2)</f>
        <v>0</v>
      </c>
    </row>
    <row r="19" spans="1:4" x14ac:dyDescent="0.3">
      <c r="A19" s="18" t="s">
        <v>73</v>
      </c>
      <c r="B19" s="13">
        <f>SUMIF($A$10:$A$10,"servico",$E$10:$E$10)</f>
        <v>0</v>
      </c>
      <c r="C19" s="12">
        <v>0</v>
      </c>
      <c r="D19" s="13">
        <f t="shared" si="0"/>
        <v>0</v>
      </c>
    </row>
    <row r="20" spans="1:4" x14ac:dyDescent="0.3">
      <c r="A20" s="18" t="s">
        <v>74</v>
      </c>
      <c r="B20" s="13">
        <f>SUM(B14:B14)</f>
        <v>0</v>
      </c>
      <c r="C20" s="12">
        <v>0</v>
      </c>
      <c r="D20" s="13">
        <f t="shared" si="0"/>
        <v>0</v>
      </c>
    </row>
    <row r="21" spans="1:4" x14ac:dyDescent="0.3">
      <c r="A21" s="9" t="s">
        <v>75</v>
      </c>
      <c r="B21" s="19">
        <f>B18+B19+B20</f>
        <v>289.89999999999998</v>
      </c>
      <c r="C21" s="12">
        <v>289.89999999999998</v>
      </c>
      <c r="D21" s="13">
        <f t="shared" si="0"/>
        <v>0</v>
      </c>
    </row>
    <row r="22" spans="1:4" x14ac:dyDescent="0.3">
      <c r="A22" s="18" t="s">
        <v>76</v>
      </c>
      <c r="B22" s="13">
        <f>IF($B$3="margem",ROUND(B21/(1-$B$4/100),2),ROUND(B21*(1+$B$4/100),2))</f>
        <v>289.89999999999998</v>
      </c>
      <c r="C22" s="12">
        <v>289.89999999999998</v>
      </c>
      <c r="D22" s="13">
        <f t="shared" si="0"/>
        <v>0</v>
      </c>
    </row>
    <row r="23" spans="1:4" x14ac:dyDescent="0.3">
      <c r="A23" s="18" t="s">
        <v>77</v>
      </c>
      <c r="B23" s="13">
        <f>B22-B21</f>
        <v>0</v>
      </c>
      <c r="C23" s="12">
        <v>0</v>
      </c>
      <c r="D23" s="13">
        <f t="shared" si="0"/>
        <v>0</v>
      </c>
    </row>
    <row r="24" spans="1:4" x14ac:dyDescent="0.3">
      <c r="A24" s="18" t="s">
        <v>78</v>
      </c>
      <c r="B24" s="13">
        <f>B25-B22</f>
        <v>0</v>
      </c>
      <c r="C24" s="12">
        <v>0</v>
      </c>
      <c r="D24" s="13">
        <f t="shared" si="0"/>
        <v>0</v>
      </c>
    </row>
    <row r="25" spans="1:4" x14ac:dyDescent="0.3">
      <c r="A25" s="9" t="s">
        <v>79</v>
      </c>
      <c r="B25" s="19">
        <f>IF($B$5="real_inteiro",ROUNDUP(B22,0),IF($B$5="dezena",ROUNDUP(B22/10,0)*10,B22))</f>
        <v>289.89999999999998</v>
      </c>
      <c r="C25" s="12">
        <v>289.89999999999998</v>
      </c>
      <c r="D25" s="13">
        <f t="shared" si="0"/>
        <v>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pane ySplit="2" topLeftCell="A9" activePane="bottomLeft" state="frozen"/>
      <selection pane="bottomLeft"/>
    </sheetView>
  </sheetViews>
  <sheetFormatPr defaultRowHeight="14.4" x14ac:dyDescent="0.3"/>
  <cols>
    <col min="1" max="1" width="41.109375" customWidth="1"/>
    <col min="2" max="2" width="34" customWidth="1"/>
    <col min="3" max="4" width="18" customWidth="1"/>
    <col min="5" max="5" width="16" customWidth="1"/>
  </cols>
  <sheetData>
    <row r="1" spans="1:5" ht="17.399999999999999" x14ac:dyDescent="0.3">
      <c r="A1" s="1" t="s">
        <v>80</v>
      </c>
    </row>
    <row r="3" spans="1:5" x14ac:dyDescent="0.3">
      <c r="A3" s="4" t="s">
        <v>53</v>
      </c>
      <c r="B3" s="10" t="s">
        <v>54</v>
      </c>
    </row>
    <row r="4" spans="1:5" x14ac:dyDescent="0.3">
      <c r="A4" s="4" t="s">
        <v>55</v>
      </c>
      <c r="B4" s="15">
        <v>30</v>
      </c>
    </row>
    <row r="5" spans="1:5" x14ac:dyDescent="0.3">
      <c r="A5" s="4" t="s">
        <v>56</v>
      </c>
      <c r="B5" s="10" t="s">
        <v>57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63</v>
      </c>
      <c r="B10" s="10" t="s">
        <v>64</v>
      </c>
      <c r="C10" s="16">
        <v>2.5</v>
      </c>
      <c r="D10" s="17">
        <v>289.89999999999998</v>
      </c>
      <c r="E10" s="13">
        <f>ROUND(C10*D10,2)</f>
        <v>724.75</v>
      </c>
    </row>
    <row r="12" spans="1:5" x14ac:dyDescent="0.3">
      <c r="A12" s="3" t="s">
        <v>65</v>
      </c>
    </row>
    <row r="13" spans="1:5" x14ac:dyDescent="0.3">
      <c r="A13" s="8" t="s">
        <v>24</v>
      </c>
      <c r="B13" s="8" t="s">
        <v>66</v>
      </c>
    </row>
    <row r="14" spans="1:5" x14ac:dyDescent="0.3">
      <c r="A14" s="10" t="s">
        <v>67</v>
      </c>
      <c r="B14" s="12">
        <v>0</v>
      </c>
    </row>
    <row r="16" spans="1:5" x14ac:dyDescent="0.3">
      <c r="A16" s="3" t="s">
        <v>68</v>
      </c>
    </row>
    <row r="17" spans="1:4" x14ac:dyDescent="0.3">
      <c r="A17" s="8" t="s">
        <v>69</v>
      </c>
      <c r="B17" s="8" t="s">
        <v>70</v>
      </c>
      <c r="C17" s="8" t="s">
        <v>71</v>
      </c>
      <c r="D17" s="8" t="s">
        <v>29</v>
      </c>
    </row>
    <row r="18" spans="1:4" x14ac:dyDescent="0.3">
      <c r="A18" s="18" t="s">
        <v>72</v>
      </c>
      <c r="B18" s="13">
        <f>SUMIF($A$10:$A$10,"material",$E$10:$E$10)</f>
        <v>724.75</v>
      </c>
      <c r="C18" s="12">
        <v>724.75</v>
      </c>
      <c r="D18" s="13">
        <f t="shared" ref="D18:D25" si="0">ROUND(B18-C18,2)</f>
        <v>0</v>
      </c>
    </row>
    <row r="19" spans="1:4" x14ac:dyDescent="0.3">
      <c r="A19" s="18" t="s">
        <v>73</v>
      </c>
      <c r="B19" s="13">
        <f>SUMIF($A$10:$A$10,"servico",$E$10:$E$10)</f>
        <v>0</v>
      </c>
      <c r="C19" s="12">
        <v>0</v>
      </c>
      <c r="D19" s="13">
        <f t="shared" si="0"/>
        <v>0</v>
      </c>
    </row>
    <row r="20" spans="1:4" x14ac:dyDescent="0.3">
      <c r="A20" s="18" t="s">
        <v>74</v>
      </c>
      <c r="B20" s="13">
        <f>SUM(B14:B14)</f>
        <v>0</v>
      </c>
      <c r="C20" s="12">
        <v>0</v>
      </c>
      <c r="D20" s="13">
        <f t="shared" si="0"/>
        <v>0</v>
      </c>
    </row>
    <row r="21" spans="1:4" x14ac:dyDescent="0.3">
      <c r="A21" s="9" t="s">
        <v>75</v>
      </c>
      <c r="B21" s="19">
        <f>B18+B19+B20</f>
        <v>724.75</v>
      </c>
      <c r="C21" s="12">
        <v>724.75</v>
      </c>
      <c r="D21" s="13">
        <f t="shared" si="0"/>
        <v>0</v>
      </c>
    </row>
    <row r="22" spans="1:4" x14ac:dyDescent="0.3">
      <c r="A22" s="18" t="s">
        <v>76</v>
      </c>
      <c r="B22" s="13">
        <f>IF($B$3="margem",ROUND(B21/(1-$B$4/100),2),ROUND(B21*(1+$B$4/100),2))</f>
        <v>1035.3599999999999</v>
      </c>
      <c r="C22" s="12">
        <v>1035.3599999999999</v>
      </c>
      <c r="D22" s="13">
        <f t="shared" si="0"/>
        <v>0</v>
      </c>
    </row>
    <row r="23" spans="1:4" x14ac:dyDescent="0.3">
      <c r="A23" s="18" t="s">
        <v>77</v>
      </c>
      <c r="B23" s="13">
        <f>B22-B21</f>
        <v>310.6099999999999</v>
      </c>
      <c r="C23" s="12">
        <v>310.61</v>
      </c>
      <c r="D23" s="13">
        <f t="shared" si="0"/>
        <v>0</v>
      </c>
    </row>
    <row r="24" spans="1:4" x14ac:dyDescent="0.3">
      <c r="A24" s="18" t="s">
        <v>78</v>
      </c>
      <c r="B24" s="13">
        <f>B25-B22</f>
        <v>0</v>
      </c>
      <c r="C24" s="12">
        <v>0</v>
      </c>
      <c r="D24" s="13">
        <f t="shared" si="0"/>
        <v>0</v>
      </c>
    </row>
    <row r="25" spans="1:4" x14ac:dyDescent="0.3">
      <c r="A25" s="9" t="s">
        <v>79</v>
      </c>
      <c r="B25" s="19">
        <f>IF($B$5="real_inteiro",ROUNDUP(B22,0),IF($B$5="dezena",ROUNDUP(B22/10,0)*10,B22))</f>
        <v>1035.3599999999999</v>
      </c>
      <c r="C25" s="12">
        <v>1035.3599999999999</v>
      </c>
      <c r="D25" s="13">
        <f t="shared" si="0"/>
        <v>0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workbookViewId="0">
      <pane ySplit="2" topLeftCell="A3" activePane="bottomLeft" state="frozen"/>
      <selection pane="bottomLeft" activeCell="A20" sqref="A20"/>
    </sheetView>
  </sheetViews>
  <sheetFormatPr defaultRowHeight="14.4" x14ac:dyDescent="0.3"/>
  <cols>
    <col min="1" max="2" width="33.109375" customWidth="1"/>
    <col min="3" max="4" width="18" customWidth="1"/>
    <col min="5" max="5" width="16" customWidth="1"/>
  </cols>
  <sheetData>
    <row r="1" spans="1:5" ht="17.399999999999999" x14ac:dyDescent="0.3">
      <c r="A1" s="1" t="s">
        <v>81</v>
      </c>
    </row>
    <row r="3" spans="1:5" x14ac:dyDescent="0.3">
      <c r="A3" s="4" t="s">
        <v>53</v>
      </c>
      <c r="B3" s="10" t="s">
        <v>54</v>
      </c>
    </row>
    <row r="4" spans="1:5" x14ac:dyDescent="0.3">
      <c r="A4" s="4" t="s">
        <v>55</v>
      </c>
      <c r="B4" s="15">
        <v>30</v>
      </c>
    </row>
    <row r="5" spans="1:5" x14ac:dyDescent="0.3">
      <c r="A5" s="4" t="s">
        <v>56</v>
      </c>
      <c r="B5" s="10" t="s">
        <v>82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63</v>
      </c>
      <c r="B10" s="10" t="s">
        <v>64</v>
      </c>
      <c r="C10" s="16">
        <v>2.5</v>
      </c>
      <c r="D10" s="17">
        <v>289.89999999999998</v>
      </c>
      <c r="E10" s="13">
        <f t="shared" ref="E10:E15" si="0">ROUND(C10*D10,2)</f>
        <v>724.75</v>
      </c>
    </row>
    <row r="11" spans="1:5" x14ac:dyDescent="0.3">
      <c r="A11" s="10" t="s">
        <v>63</v>
      </c>
      <c r="B11" s="10" t="s">
        <v>83</v>
      </c>
      <c r="C11" s="16">
        <v>30</v>
      </c>
      <c r="D11" s="17">
        <v>1.2350000000000001</v>
      </c>
      <c r="E11" s="13">
        <f t="shared" si="0"/>
        <v>37.049999999999997</v>
      </c>
    </row>
    <row r="12" spans="1:5" x14ac:dyDescent="0.3">
      <c r="A12" s="10" t="s">
        <v>63</v>
      </c>
      <c r="B12" s="10" t="s">
        <v>84</v>
      </c>
      <c r="C12" s="16">
        <v>6</v>
      </c>
      <c r="D12" s="17">
        <v>34.5</v>
      </c>
      <c r="E12" s="13">
        <f t="shared" si="0"/>
        <v>207</v>
      </c>
    </row>
    <row r="13" spans="1:5" x14ac:dyDescent="0.3">
      <c r="A13" s="10" t="s">
        <v>63</v>
      </c>
      <c r="B13" s="10" t="s">
        <v>85</v>
      </c>
      <c r="C13" s="16">
        <v>12</v>
      </c>
      <c r="D13" s="17">
        <v>8.9</v>
      </c>
      <c r="E13" s="13">
        <f t="shared" si="0"/>
        <v>106.8</v>
      </c>
    </row>
    <row r="14" spans="1:5" x14ac:dyDescent="0.3">
      <c r="A14" s="10" t="s">
        <v>86</v>
      </c>
      <c r="B14" s="10" t="s">
        <v>87</v>
      </c>
      <c r="C14" s="16">
        <v>8</v>
      </c>
      <c r="D14" s="17">
        <v>45</v>
      </c>
      <c r="E14" s="13">
        <f t="shared" si="0"/>
        <v>360</v>
      </c>
    </row>
    <row r="15" spans="1:5" x14ac:dyDescent="0.3">
      <c r="A15" s="10" t="s">
        <v>86</v>
      </c>
      <c r="B15" s="10" t="s">
        <v>88</v>
      </c>
      <c r="C15" s="16">
        <v>6</v>
      </c>
      <c r="D15" s="17">
        <v>55</v>
      </c>
      <c r="E15" s="13">
        <f t="shared" si="0"/>
        <v>330</v>
      </c>
    </row>
    <row r="17" spans="1:4" x14ac:dyDescent="0.3">
      <c r="A17" s="3" t="s">
        <v>65</v>
      </c>
    </row>
    <row r="18" spans="1:4" x14ac:dyDescent="0.3">
      <c r="A18" s="8" t="s">
        <v>24</v>
      </c>
      <c r="B18" s="8" t="s">
        <v>66</v>
      </c>
    </row>
    <row r="19" spans="1:4" x14ac:dyDescent="0.3">
      <c r="A19" s="10" t="s">
        <v>89</v>
      </c>
      <c r="B19" s="12">
        <v>120</v>
      </c>
    </row>
    <row r="20" spans="1:4" x14ac:dyDescent="0.3">
      <c r="A20" s="10" t="s">
        <v>90</v>
      </c>
      <c r="B20" s="12">
        <v>45.5</v>
      </c>
    </row>
    <row r="22" spans="1:4" x14ac:dyDescent="0.3">
      <c r="A22" s="3" t="s">
        <v>68</v>
      </c>
    </row>
    <row r="23" spans="1:4" x14ac:dyDescent="0.3">
      <c r="A23" s="8" t="s">
        <v>69</v>
      </c>
      <c r="B23" s="8" t="s">
        <v>70</v>
      </c>
      <c r="C23" s="8" t="s">
        <v>71</v>
      </c>
      <c r="D23" s="8" t="s">
        <v>29</v>
      </c>
    </row>
    <row r="24" spans="1:4" x14ac:dyDescent="0.3">
      <c r="A24" s="18" t="s">
        <v>72</v>
      </c>
      <c r="B24" s="13">
        <f>SUMIF($A$10:$A$15,"material",$E$10:$E$15)</f>
        <v>1075.5999999999999</v>
      </c>
      <c r="C24" s="12">
        <v>1075.5999999999999</v>
      </c>
      <c r="D24" s="13">
        <f t="shared" ref="D24:D31" si="1">ROUND(B24-C24,2)</f>
        <v>0</v>
      </c>
    </row>
    <row r="25" spans="1:4" x14ac:dyDescent="0.3">
      <c r="A25" s="18" t="s">
        <v>73</v>
      </c>
      <c r="B25" s="13">
        <f>SUMIF($A$10:$A$15,"servico",$E$10:$E$15)</f>
        <v>690</v>
      </c>
      <c r="C25" s="12">
        <v>690</v>
      </c>
      <c r="D25" s="13">
        <f t="shared" si="1"/>
        <v>0</v>
      </c>
    </row>
    <row r="26" spans="1:4" x14ac:dyDescent="0.3">
      <c r="A26" s="18" t="s">
        <v>74</v>
      </c>
      <c r="B26" s="13">
        <f>SUM(B19:B20)</f>
        <v>165.5</v>
      </c>
      <c r="C26" s="12">
        <v>165.5</v>
      </c>
      <c r="D26" s="13">
        <f t="shared" si="1"/>
        <v>0</v>
      </c>
    </row>
    <row r="27" spans="1:4" x14ac:dyDescent="0.3">
      <c r="A27" s="9" t="s">
        <v>75</v>
      </c>
      <c r="B27" s="19">
        <f>B24+B25+B26</f>
        <v>1931.1</v>
      </c>
      <c r="C27" s="12">
        <v>1931.1</v>
      </c>
      <c r="D27" s="13">
        <f t="shared" si="1"/>
        <v>0</v>
      </c>
    </row>
    <row r="28" spans="1:4" x14ac:dyDescent="0.3">
      <c r="A28" s="18" t="s">
        <v>76</v>
      </c>
      <c r="B28" s="13">
        <f>IF($B$3="margem",ROUND(B27/(1-$B$4/100),2),ROUND(B27*(1+$B$4/100),2))</f>
        <v>2758.71</v>
      </c>
      <c r="C28" s="12">
        <v>2758.71</v>
      </c>
      <c r="D28" s="13">
        <f t="shared" si="1"/>
        <v>0</v>
      </c>
    </row>
    <row r="29" spans="1:4" x14ac:dyDescent="0.3">
      <c r="A29" s="18" t="s">
        <v>77</v>
      </c>
      <c r="B29" s="13">
        <f>B28-B27</f>
        <v>827.61000000000013</v>
      </c>
      <c r="C29" s="12">
        <v>827.61</v>
      </c>
      <c r="D29" s="13">
        <f t="shared" si="1"/>
        <v>0</v>
      </c>
    </row>
    <row r="30" spans="1:4" x14ac:dyDescent="0.3">
      <c r="A30" s="18" t="s">
        <v>78</v>
      </c>
      <c r="B30" s="13">
        <f>B31-B28</f>
        <v>1.2899999999999636</v>
      </c>
      <c r="C30" s="12">
        <v>1.29</v>
      </c>
      <c r="D30" s="13">
        <f t="shared" si="1"/>
        <v>0</v>
      </c>
    </row>
    <row r="31" spans="1:4" x14ac:dyDescent="0.3">
      <c r="A31" s="9" t="s">
        <v>79</v>
      </c>
      <c r="B31" s="19">
        <f>IF($B$5="real_inteiro",ROUNDUP(B28,0),IF($B$5="dezena",ROUNDUP(B28/10,0)*10,B28))</f>
        <v>2760</v>
      </c>
      <c r="C31" s="12">
        <v>2760</v>
      </c>
      <c r="D31" s="13">
        <f t="shared" si="1"/>
        <v>0</v>
      </c>
    </row>
  </sheetData>
  <pageMargins left="0.75" right="0.75" top="1" bottom="1" header="0.5" footer="0.5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>
      <pane ySplit="2" topLeftCell="A15" activePane="bottomLeft" state="frozen"/>
      <selection pane="bottomLeft"/>
    </sheetView>
  </sheetViews>
  <sheetFormatPr defaultRowHeight="14.4" x14ac:dyDescent="0.3"/>
  <cols>
    <col min="1" max="1" width="30" customWidth="1"/>
    <col min="2" max="2" width="34" customWidth="1"/>
    <col min="3" max="4" width="18" customWidth="1"/>
    <col min="5" max="5" width="16" customWidth="1"/>
  </cols>
  <sheetData>
    <row r="1" spans="1:5" ht="17.399999999999999" x14ac:dyDescent="0.3">
      <c r="A1" s="1" t="s">
        <v>91</v>
      </c>
    </row>
    <row r="3" spans="1:5" x14ac:dyDescent="0.3">
      <c r="A3" s="4" t="s">
        <v>53</v>
      </c>
      <c r="B3" s="10" t="s">
        <v>92</v>
      </c>
    </row>
    <row r="4" spans="1:5" x14ac:dyDescent="0.3">
      <c r="A4" s="4" t="s">
        <v>55</v>
      </c>
      <c r="B4" s="15">
        <v>30</v>
      </c>
    </row>
    <row r="5" spans="1:5" x14ac:dyDescent="0.3">
      <c r="A5" s="4" t="s">
        <v>56</v>
      </c>
      <c r="B5" s="10" t="s">
        <v>82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63</v>
      </c>
      <c r="B10" s="10" t="s">
        <v>64</v>
      </c>
      <c r="C10" s="16">
        <v>2.5</v>
      </c>
      <c r="D10" s="17">
        <v>289.89999999999998</v>
      </c>
      <c r="E10" s="13">
        <f t="shared" ref="E10:E15" si="0">ROUND(C10*D10,2)</f>
        <v>724.75</v>
      </c>
    </row>
    <row r="11" spans="1:5" x14ac:dyDescent="0.3">
      <c r="A11" s="10" t="s">
        <v>63</v>
      </c>
      <c r="B11" s="10" t="s">
        <v>83</v>
      </c>
      <c r="C11" s="16">
        <v>30</v>
      </c>
      <c r="D11" s="17">
        <v>1.2350000000000001</v>
      </c>
      <c r="E11" s="13">
        <f t="shared" si="0"/>
        <v>37.049999999999997</v>
      </c>
    </row>
    <row r="12" spans="1:5" x14ac:dyDescent="0.3">
      <c r="A12" s="10" t="s">
        <v>63</v>
      </c>
      <c r="B12" s="10" t="s">
        <v>84</v>
      </c>
      <c r="C12" s="16">
        <v>6</v>
      </c>
      <c r="D12" s="17">
        <v>34.5</v>
      </c>
      <c r="E12" s="13">
        <f t="shared" si="0"/>
        <v>207</v>
      </c>
    </row>
    <row r="13" spans="1:5" x14ac:dyDescent="0.3">
      <c r="A13" s="10" t="s">
        <v>63</v>
      </c>
      <c r="B13" s="10" t="s">
        <v>85</v>
      </c>
      <c r="C13" s="16">
        <v>12</v>
      </c>
      <c r="D13" s="17">
        <v>8.9</v>
      </c>
      <c r="E13" s="13">
        <f t="shared" si="0"/>
        <v>106.8</v>
      </c>
    </row>
    <row r="14" spans="1:5" x14ac:dyDescent="0.3">
      <c r="A14" s="10" t="s">
        <v>86</v>
      </c>
      <c r="B14" s="10" t="s">
        <v>87</v>
      </c>
      <c r="C14" s="16">
        <v>8</v>
      </c>
      <c r="D14" s="17">
        <v>45</v>
      </c>
      <c r="E14" s="13">
        <f t="shared" si="0"/>
        <v>360</v>
      </c>
    </row>
    <row r="15" spans="1:5" x14ac:dyDescent="0.3">
      <c r="A15" s="10" t="s">
        <v>86</v>
      </c>
      <c r="B15" s="10" t="s">
        <v>88</v>
      </c>
      <c r="C15" s="16">
        <v>6</v>
      </c>
      <c r="D15" s="17">
        <v>55</v>
      </c>
      <c r="E15" s="13">
        <f t="shared" si="0"/>
        <v>330</v>
      </c>
    </row>
    <row r="17" spans="1:4" x14ac:dyDescent="0.3">
      <c r="A17" s="3" t="s">
        <v>65</v>
      </c>
    </row>
    <row r="18" spans="1:4" x14ac:dyDescent="0.3">
      <c r="A18" s="8" t="s">
        <v>24</v>
      </c>
      <c r="B18" s="8" t="s">
        <v>66</v>
      </c>
    </row>
    <row r="19" spans="1:4" x14ac:dyDescent="0.3">
      <c r="A19" s="10" t="s">
        <v>89</v>
      </c>
      <c r="B19" s="12">
        <v>120</v>
      </c>
    </row>
    <row r="20" spans="1:4" x14ac:dyDescent="0.3">
      <c r="A20" s="10" t="s">
        <v>90</v>
      </c>
      <c r="B20" s="12">
        <v>45.5</v>
      </c>
    </row>
    <row r="22" spans="1:4" x14ac:dyDescent="0.3">
      <c r="A22" s="3" t="s">
        <v>68</v>
      </c>
    </row>
    <row r="23" spans="1:4" x14ac:dyDescent="0.3">
      <c r="A23" s="8" t="s">
        <v>69</v>
      </c>
      <c r="B23" s="8" t="s">
        <v>70</v>
      </c>
      <c r="C23" s="8" t="s">
        <v>71</v>
      </c>
      <c r="D23" s="8" t="s">
        <v>29</v>
      </c>
    </row>
    <row r="24" spans="1:4" x14ac:dyDescent="0.3">
      <c r="A24" s="18" t="s">
        <v>72</v>
      </c>
      <c r="B24" s="13">
        <f>SUMIF($A$10:$A$15,"material",$E$10:$E$15)</f>
        <v>1075.5999999999999</v>
      </c>
      <c r="C24" s="12">
        <v>1075.5999999999999</v>
      </c>
      <c r="D24" s="13">
        <f t="shared" ref="D24:D31" si="1">ROUND(B24-C24,2)</f>
        <v>0</v>
      </c>
    </row>
    <row r="25" spans="1:4" x14ac:dyDescent="0.3">
      <c r="A25" s="18" t="s">
        <v>73</v>
      </c>
      <c r="B25" s="13">
        <f>SUMIF($A$10:$A$15,"servico",$E$10:$E$15)</f>
        <v>690</v>
      </c>
      <c r="C25" s="12">
        <v>690</v>
      </c>
      <c r="D25" s="13">
        <f t="shared" si="1"/>
        <v>0</v>
      </c>
    </row>
    <row r="26" spans="1:4" x14ac:dyDescent="0.3">
      <c r="A26" s="18" t="s">
        <v>74</v>
      </c>
      <c r="B26" s="13">
        <f>SUM(B19:B20)</f>
        <v>165.5</v>
      </c>
      <c r="C26" s="12">
        <v>165.5</v>
      </c>
      <c r="D26" s="13">
        <f t="shared" si="1"/>
        <v>0</v>
      </c>
    </row>
    <row r="27" spans="1:4" x14ac:dyDescent="0.3">
      <c r="A27" s="9" t="s">
        <v>75</v>
      </c>
      <c r="B27" s="19">
        <f>B24+B25+B26</f>
        <v>1931.1</v>
      </c>
      <c r="C27" s="12">
        <v>1931.1</v>
      </c>
      <c r="D27" s="13">
        <f t="shared" si="1"/>
        <v>0</v>
      </c>
    </row>
    <row r="28" spans="1:4" x14ac:dyDescent="0.3">
      <c r="A28" s="18" t="s">
        <v>76</v>
      </c>
      <c r="B28" s="13">
        <f>IF($B$3="margem",ROUND(B27/(1-$B$4/100),2),ROUND(B27*(1+$B$4/100),2))</f>
        <v>2510.4299999999998</v>
      </c>
      <c r="C28" s="12">
        <v>2510.4299999999998</v>
      </c>
      <c r="D28" s="13">
        <f t="shared" si="1"/>
        <v>0</v>
      </c>
    </row>
    <row r="29" spans="1:4" x14ac:dyDescent="0.3">
      <c r="A29" s="18" t="s">
        <v>77</v>
      </c>
      <c r="B29" s="13">
        <f>B28-B27</f>
        <v>579.32999999999993</v>
      </c>
      <c r="C29" s="12">
        <v>579.33000000000004</v>
      </c>
      <c r="D29" s="13">
        <f t="shared" si="1"/>
        <v>0</v>
      </c>
    </row>
    <row r="30" spans="1:4" x14ac:dyDescent="0.3">
      <c r="A30" s="18" t="s">
        <v>78</v>
      </c>
      <c r="B30" s="13">
        <f>B31-B28</f>
        <v>9.5700000000001637</v>
      </c>
      <c r="C30" s="12">
        <v>9.57</v>
      </c>
      <c r="D30" s="13">
        <f t="shared" si="1"/>
        <v>0</v>
      </c>
    </row>
    <row r="31" spans="1:4" x14ac:dyDescent="0.3">
      <c r="A31" s="9" t="s">
        <v>79</v>
      </c>
      <c r="B31" s="19">
        <f>IF($B$5="real_inteiro",ROUNDUP(B28,0),IF($B$5="dezena",ROUNDUP(B28/10,0)*10,B28))</f>
        <v>2520</v>
      </c>
      <c r="C31" s="12">
        <v>2520</v>
      </c>
      <c r="D31" s="13">
        <f t="shared" si="1"/>
        <v>0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workbookViewId="0">
      <pane ySplit="2" topLeftCell="A12" activePane="bottomLeft" state="frozen"/>
      <selection pane="bottomLeft" activeCell="B11" sqref="B11"/>
    </sheetView>
  </sheetViews>
  <sheetFormatPr defaultRowHeight="14.4" x14ac:dyDescent="0.3"/>
  <cols>
    <col min="1" max="1" width="30" customWidth="1"/>
    <col min="2" max="2" width="34" customWidth="1"/>
    <col min="3" max="4" width="18" customWidth="1"/>
    <col min="5" max="5" width="16" customWidth="1"/>
  </cols>
  <sheetData>
    <row r="1" spans="1:5" ht="17.399999999999999" x14ac:dyDescent="0.3">
      <c r="A1" s="1" t="s">
        <v>93</v>
      </c>
    </row>
    <row r="3" spans="1:5" x14ac:dyDescent="0.3">
      <c r="A3" s="4" t="s">
        <v>53</v>
      </c>
      <c r="B3" s="10" t="s">
        <v>54</v>
      </c>
    </row>
    <row r="4" spans="1:5" x14ac:dyDescent="0.3">
      <c r="A4" s="4" t="s">
        <v>55</v>
      </c>
      <c r="B4" s="15">
        <v>20</v>
      </c>
    </row>
    <row r="5" spans="1:5" x14ac:dyDescent="0.3">
      <c r="A5" s="4" t="s">
        <v>56</v>
      </c>
      <c r="B5" s="10" t="s">
        <v>57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63</v>
      </c>
      <c r="B10" s="10" t="s">
        <v>83</v>
      </c>
      <c r="C10" s="16">
        <v>4.5</v>
      </c>
      <c r="D10" s="17">
        <v>1.2350000000000001</v>
      </c>
      <c r="E10" s="13">
        <f>ROUND(C10*D10,2)</f>
        <v>5.56</v>
      </c>
    </row>
    <row r="11" spans="1:5" x14ac:dyDescent="0.3">
      <c r="A11" s="10" t="s">
        <v>63</v>
      </c>
      <c r="B11" s="10" t="s">
        <v>94</v>
      </c>
      <c r="C11" s="16">
        <v>1.5</v>
      </c>
      <c r="D11" s="17">
        <v>23.99</v>
      </c>
      <c r="E11" s="13">
        <f>ROUND(C11*D11,2)</f>
        <v>35.99</v>
      </c>
    </row>
    <row r="13" spans="1:5" x14ac:dyDescent="0.3">
      <c r="A13" s="3" t="s">
        <v>65</v>
      </c>
    </row>
    <row r="14" spans="1:5" x14ac:dyDescent="0.3">
      <c r="A14" s="8" t="s">
        <v>24</v>
      </c>
      <c r="B14" s="8" t="s">
        <v>66</v>
      </c>
    </row>
    <row r="15" spans="1:5" x14ac:dyDescent="0.3">
      <c r="A15" s="10" t="s">
        <v>67</v>
      </c>
      <c r="B15" s="12">
        <v>0</v>
      </c>
    </row>
    <row r="17" spans="1:4" x14ac:dyDescent="0.3">
      <c r="A17" s="3" t="s">
        <v>68</v>
      </c>
    </row>
    <row r="18" spans="1:4" x14ac:dyDescent="0.3">
      <c r="A18" s="8" t="s">
        <v>69</v>
      </c>
      <c r="B18" s="8" t="s">
        <v>70</v>
      </c>
      <c r="C18" s="8" t="s">
        <v>71</v>
      </c>
      <c r="D18" s="8" t="s">
        <v>29</v>
      </c>
    </row>
    <row r="19" spans="1:4" x14ac:dyDescent="0.3">
      <c r="A19" s="18" t="s">
        <v>72</v>
      </c>
      <c r="B19" s="13">
        <f>SUMIF($A$10:$A$11,"material",$E$10:$E$11)</f>
        <v>41.550000000000004</v>
      </c>
      <c r="C19" s="12">
        <v>41.55</v>
      </c>
      <c r="D19" s="13">
        <f t="shared" ref="D19:D26" si="0">ROUND(B19-C19,2)</f>
        <v>0</v>
      </c>
    </row>
    <row r="20" spans="1:4" x14ac:dyDescent="0.3">
      <c r="A20" s="18" t="s">
        <v>73</v>
      </c>
      <c r="B20" s="13">
        <f>SUMIF($A$10:$A$11,"servico",$E$10:$E$11)</f>
        <v>0</v>
      </c>
      <c r="C20" s="12">
        <v>0</v>
      </c>
      <c r="D20" s="13">
        <f t="shared" si="0"/>
        <v>0</v>
      </c>
    </row>
    <row r="21" spans="1:4" x14ac:dyDescent="0.3">
      <c r="A21" s="18" t="s">
        <v>74</v>
      </c>
      <c r="B21" s="13">
        <f>SUM(B15:B15)</f>
        <v>0</v>
      </c>
      <c r="C21" s="12">
        <v>0</v>
      </c>
      <c r="D21" s="13">
        <f t="shared" si="0"/>
        <v>0</v>
      </c>
    </row>
    <row r="22" spans="1:4" x14ac:dyDescent="0.3">
      <c r="A22" s="9" t="s">
        <v>75</v>
      </c>
      <c r="B22" s="19">
        <f>B19+B20+B21</f>
        <v>41.550000000000004</v>
      </c>
      <c r="C22" s="12">
        <v>41.55</v>
      </c>
      <c r="D22" s="13">
        <f t="shared" si="0"/>
        <v>0</v>
      </c>
    </row>
    <row r="23" spans="1:4" x14ac:dyDescent="0.3">
      <c r="A23" s="18" t="s">
        <v>76</v>
      </c>
      <c r="B23" s="13">
        <f>IF($B$3="margem",ROUND(B22/(1-$B$4/100),2),ROUND(B22*(1+$B$4/100),2))</f>
        <v>51.94</v>
      </c>
      <c r="C23" s="12">
        <v>51.94</v>
      </c>
      <c r="D23" s="13">
        <f t="shared" si="0"/>
        <v>0</v>
      </c>
    </row>
    <row r="24" spans="1:4" x14ac:dyDescent="0.3">
      <c r="A24" s="18" t="s">
        <v>77</v>
      </c>
      <c r="B24" s="13">
        <f>B23-B22</f>
        <v>10.389999999999993</v>
      </c>
      <c r="C24" s="12">
        <v>10.39</v>
      </c>
      <c r="D24" s="13">
        <f t="shared" si="0"/>
        <v>0</v>
      </c>
    </row>
    <row r="25" spans="1:4" x14ac:dyDescent="0.3">
      <c r="A25" s="18" t="s">
        <v>78</v>
      </c>
      <c r="B25" s="13">
        <f>B26-B23</f>
        <v>0</v>
      </c>
      <c r="C25" s="12">
        <v>0</v>
      </c>
      <c r="D25" s="13">
        <f t="shared" si="0"/>
        <v>0</v>
      </c>
    </row>
    <row r="26" spans="1:4" x14ac:dyDescent="0.3">
      <c r="A26" s="9" t="s">
        <v>79</v>
      </c>
      <c r="B26" s="19">
        <f>IF($B$5="real_inteiro",ROUNDUP(B23,0),IF($B$5="dezena",ROUNDUP(B23/10,0)*10,B23))</f>
        <v>51.94</v>
      </c>
      <c r="C26" s="12">
        <v>51.94</v>
      </c>
      <c r="D26" s="13">
        <f t="shared" si="0"/>
        <v>0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workbookViewId="0">
      <pane ySplit="2" topLeftCell="A15" activePane="bottomLeft" state="frozen"/>
      <selection pane="bottomLeft"/>
    </sheetView>
  </sheetViews>
  <sheetFormatPr defaultRowHeight="14.4" x14ac:dyDescent="0.3"/>
  <cols>
    <col min="1" max="1" width="30" customWidth="1"/>
    <col min="2" max="2" width="34" customWidth="1"/>
    <col min="3" max="4" width="18" customWidth="1"/>
    <col min="5" max="5" width="16" customWidth="1"/>
  </cols>
  <sheetData>
    <row r="1" spans="1:5" ht="17.399999999999999" x14ac:dyDescent="0.3">
      <c r="A1" s="1" t="s">
        <v>95</v>
      </c>
    </row>
    <row r="3" spans="1:5" x14ac:dyDescent="0.3">
      <c r="A3" s="4" t="s">
        <v>53</v>
      </c>
      <c r="B3" s="10" t="s">
        <v>92</v>
      </c>
    </row>
    <row r="4" spans="1:5" x14ac:dyDescent="0.3">
      <c r="A4" s="4" t="s">
        <v>55</v>
      </c>
      <c r="B4" s="15">
        <v>50</v>
      </c>
    </row>
    <row r="5" spans="1:5" x14ac:dyDescent="0.3">
      <c r="A5" s="4" t="s">
        <v>56</v>
      </c>
      <c r="B5" s="10" t="s">
        <v>96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86</v>
      </c>
      <c r="B10" s="10" t="s">
        <v>97</v>
      </c>
      <c r="C10" s="16">
        <v>4</v>
      </c>
      <c r="D10" s="17">
        <v>80</v>
      </c>
      <c r="E10" s="13">
        <f>ROUND(C10*D10,2)</f>
        <v>320</v>
      </c>
    </row>
    <row r="11" spans="1:5" x14ac:dyDescent="0.3">
      <c r="A11" s="10" t="s">
        <v>86</v>
      </c>
      <c r="B11" s="10" t="s">
        <v>98</v>
      </c>
      <c r="C11" s="16">
        <v>5.5</v>
      </c>
      <c r="D11" s="17">
        <v>55</v>
      </c>
      <c r="E11" s="13">
        <f>ROUND(C11*D11,2)</f>
        <v>302.5</v>
      </c>
    </row>
    <row r="13" spans="1:5" x14ac:dyDescent="0.3">
      <c r="A13" s="3" t="s">
        <v>65</v>
      </c>
    </row>
    <row r="14" spans="1:5" x14ac:dyDescent="0.3">
      <c r="A14" s="8" t="s">
        <v>24</v>
      </c>
      <c r="B14" s="8" t="s">
        <v>66</v>
      </c>
    </row>
    <row r="15" spans="1:5" x14ac:dyDescent="0.3">
      <c r="A15" s="10" t="s">
        <v>67</v>
      </c>
      <c r="B15" s="12">
        <v>0</v>
      </c>
    </row>
    <row r="17" spans="1:4" x14ac:dyDescent="0.3">
      <c r="A17" s="3" t="s">
        <v>68</v>
      </c>
    </row>
    <row r="18" spans="1:4" x14ac:dyDescent="0.3">
      <c r="A18" s="8" t="s">
        <v>69</v>
      </c>
      <c r="B18" s="8" t="s">
        <v>70</v>
      </c>
      <c r="C18" s="8" t="s">
        <v>71</v>
      </c>
      <c r="D18" s="8" t="s">
        <v>29</v>
      </c>
    </row>
    <row r="19" spans="1:4" x14ac:dyDescent="0.3">
      <c r="A19" s="18" t="s">
        <v>72</v>
      </c>
      <c r="B19" s="13">
        <f>SUMIF($A$10:$A$11,"material",$E$10:$E$11)</f>
        <v>0</v>
      </c>
      <c r="C19" s="12">
        <v>0</v>
      </c>
      <c r="D19" s="13">
        <f t="shared" ref="D19:D26" si="0">ROUND(B19-C19,2)</f>
        <v>0</v>
      </c>
    </row>
    <row r="20" spans="1:4" x14ac:dyDescent="0.3">
      <c r="A20" s="18" t="s">
        <v>73</v>
      </c>
      <c r="B20" s="13">
        <f>SUMIF($A$10:$A$11,"servico",$E$10:$E$11)</f>
        <v>622.5</v>
      </c>
      <c r="C20" s="12">
        <v>622.5</v>
      </c>
      <c r="D20" s="13">
        <f t="shared" si="0"/>
        <v>0</v>
      </c>
    </row>
    <row r="21" spans="1:4" x14ac:dyDescent="0.3">
      <c r="A21" s="18" t="s">
        <v>74</v>
      </c>
      <c r="B21" s="13">
        <f>SUM(B15:B15)</f>
        <v>0</v>
      </c>
      <c r="C21" s="12">
        <v>0</v>
      </c>
      <c r="D21" s="13">
        <f t="shared" si="0"/>
        <v>0</v>
      </c>
    </row>
    <row r="22" spans="1:4" x14ac:dyDescent="0.3">
      <c r="A22" s="9" t="s">
        <v>75</v>
      </c>
      <c r="B22" s="19">
        <f>B19+B20+B21</f>
        <v>622.5</v>
      </c>
      <c r="C22" s="12">
        <v>622.5</v>
      </c>
      <c r="D22" s="13">
        <f t="shared" si="0"/>
        <v>0</v>
      </c>
    </row>
    <row r="23" spans="1:4" x14ac:dyDescent="0.3">
      <c r="A23" s="18" t="s">
        <v>76</v>
      </c>
      <c r="B23" s="13">
        <f>IF($B$3="margem",ROUND(B22/(1-$B$4/100),2),ROUND(B22*(1+$B$4/100),2))</f>
        <v>933.75</v>
      </c>
      <c r="C23" s="12">
        <v>933.75</v>
      </c>
      <c r="D23" s="13">
        <f t="shared" si="0"/>
        <v>0</v>
      </c>
    </row>
    <row r="24" spans="1:4" x14ac:dyDescent="0.3">
      <c r="A24" s="18" t="s">
        <v>77</v>
      </c>
      <c r="B24" s="13">
        <f>B23-B22</f>
        <v>311.25</v>
      </c>
      <c r="C24" s="12">
        <v>311.25</v>
      </c>
      <c r="D24" s="13">
        <f t="shared" si="0"/>
        <v>0</v>
      </c>
    </row>
    <row r="25" spans="1:4" x14ac:dyDescent="0.3">
      <c r="A25" s="18" t="s">
        <v>78</v>
      </c>
      <c r="B25" s="13">
        <f>B26-B23</f>
        <v>0.25</v>
      </c>
      <c r="C25" s="12">
        <v>0.25</v>
      </c>
      <c r="D25" s="13">
        <f t="shared" si="0"/>
        <v>0</v>
      </c>
    </row>
    <row r="26" spans="1:4" x14ac:dyDescent="0.3">
      <c r="A26" s="9" t="s">
        <v>79</v>
      </c>
      <c r="B26" s="19">
        <f>IF($B$5="real_inteiro",ROUNDUP(B23,0),IF($B$5="dezena",ROUNDUP(B23/10,0)*10,B23))</f>
        <v>934</v>
      </c>
      <c r="C26" s="12">
        <v>934</v>
      </c>
      <c r="D26" s="13">
        <f t="shared" si="0"/>
        <v>0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workbookViewId="0">
      <pane ySplit="2" topLeftCell="A3" activePane="bottomLeft" state="frozen"/>
      <selection pane="bottomLeft" activeCell="B10" sqref="B10"/>
    </sheetView>
  </sheetViews>
  <sheetFormatPr defaultRowHeight="14.4" x14ac:dyDescent="0.3"/>
  <cols>
    <col min="1" max="1" width="30" customWidth="1"/>
    <col min="2" max="2" width="34" customWidth="1"/>
    <col min="3" max="4" width="18" customWidth="1"/>
    <col min="5" max="5" width="16" customWidth="1"/>
  </cols>
  <sheetData>
    <row r="1" spans="1:5" ht="17.399999999999999" x14ac:dyDescent="0.3">
      <c r="A1" s="1" t="s">
        <v>99</v>
      </c>
    </row>
    <row r="3" spans="1:5" x14ac:dyDescent="0.3">
      <c r="A3" s="4" t="s">
        <v>53</v>
      </c>
      <c r="B3" s="10" t="s">
        <v>54</v>
      </c>
    </row>
    <row r="4" spans="1:5" x14ac:dyDescent="0.3">
      <c r="A4" s="4" t="s">
        <v>55</v>
      </c>
      <c r="B4" s="15">
        <v>45</v>
      </c>
    </row>
    <row r="5" spans="1:5" x14ac:dyDescent="0.3">
      <c r="A5" s="4" t="s">
        <v>56</v>
      </c>
      <c r="B5" s="10" t="s">
        <v>82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63</v>
      </c>
      <c r="B10" s="10" t="s">
        <v>100</v>
      </c>
      <c r="C10" s="16">
        <v>3</v>
      </c>
      <c r="D10" s="17">
        <v>198.75</v>
      </c>
      <c r="E10" s="13">
        <f>ROUND(C10*D10,2)</f>
        <v>596.25</v>
      </c>
    </row>
    <row r="12" spans="1:5" x14ac:dyDescent="0.3">
      <c r="A12" s="3" t="s">
        <v>65</v>
      </c>
    </row>
    <row r="13" spans="1:5" x14ac:dyDescent="0.3">
      <c r="A13" s="8" t="s">
        <v>24</v>
      </c>
      <c r="B13" s="8" t="s">
        <v>66</v>
      </c>
    </row>
    <row r="14" spans="1:5" x14ac:dyDescent="0.3">
      <c r="A14" s="10" t="s">
        <v>89</v>
      </c>
      <c r="B14" s="12">
        <v>90</v>
      </c>
    </row>
    <row r="15" spans="1:5" x14ac:dyDescent="0.3">
      <c r="A15" s="10" t="s">
        <v>101</v>
      </c>
      <c r="B15" s="12">
        <v>60</v>
      </c>
    </row>
    <row r="17" spans="1:4" x14ac:dyDescent="0.3">
      <c r="A17" s="3" t="s">
        <v>68</v>
      </c>
    </row>
    <row r="18" spans="1:4" x14ac:dyDescent="0.3">
      <c r="A18" s="8" t="s">
        <v>69</v>
      </c>
      <c r="B18" s="8" t="s">
        <v>70</v>
      </c>
      <c r="C18" s="8" t="s">
        <v>71</v>
      </c>
      <c r="D18" s="8" t="s">
        <v>29</v>
      </c>
    </row>
    <row r="19" spans="1:4" x14ac:dyDescent="0.3">
      <c r="A19" s="18" t="s">
        <v>72</v>
      </c>
      <c r="B19" s="13">
        <f>SUMIF($A$10:$A$10,"material",$E$10:$E$10)</f>
        <v>596.25</v>
      </c>
      <c r="C19" s="12">
        <v>596.25</v>
      </c>
      <c r="D19" s="13">
        <f t="shared" ref="D19:D26" si="0">ROUND(B19-C19,2)</f>
        <v>0</v>
      </c>
    </row>
    <row r="20" spans="1:4" x14ac:dyDescent="0.3">
      <c r="A20" s="18" t="s">
        <v>73</v>
      </c>
      <c r="B20" s="13">
        <f>SUMIF($A$10:$A$10,"servico",$E$10:$E$10)</f>
        <v>0</v>
      </c>
      <c r="C20" s="12">
        <v>0</v>
      </c>
      <c r="D20" s="13">
        <f t="shared" si="0"/>
        <v>0</v>
      </c>
    </row>
    <row r="21" spans="1:4" x14ac:dyDescent="0.3">
      <c r="A21" s="18" t="s">
        <v>74</v>
      </c>
      <c r="B21" s="13">
        <f>SUM(B14:B15)</f>
        <v>150</v>
      </c>
      <c r="C21" s="12">
        <v>150</v>
      </c>
      <c r="D21" s="13">
        <f t="shared" si="0"/>
        <v>0</v>
      </c>
    </row>
    <row r="22" spans="1:4" x14ac:dyDescent="0.3">
      <c r="A22" s="9" t="s">
        <v>75</v>
      </c>
      <c r="B22" s="19">
        <f>B19+B20+B21</f>
        <v>746.25</v>
      </c>
      <c r="C22" s="12">
        <v>746.25</v>
      </c>
      <c r="D22" s="13">
        <f t="shared" si="0"/>
        <v>0</v>
      </c>
    </row>
    <row r="23" spans="1:4" x14ac:dyDescent="0.3">
      <c r="A23" s="18" t="s">
        <v>76</v>
      </c>
      <c r="B23" s="13">
        <f>IF($B$3="margem",ROUND(B22/(1-$B$4/100),2),ROUND(B22*(1+$B$4/100),2))</f>
        <v>1356.82</v>
      </c>
      <c r="C23" s="12">
        <v>1356.82</v>
      </c>
      <c r="D23" s="13">
        <f t="shared" si="0"/>
        <v>0</v>
      </c>
    </row>
    <row r="24" spans="1:4" x14ac:dyDescent="0.3">
      <c r="A24" s="18" t="s">
        <v>77</v>
      </c>
      <c r="B24" s="13">
        <f>B23-B22</f>
        <v>610.56999999999994</v>
      </c>
      <c r="C24" s="12">
        <v>610.57000000000005</v>
      </c>
      <c r="D24" s="13">
        <f t="shared" si="0"/>
        <v>0</v>
      </c>
    </row>
    <row r="25" spans="1:4" x14ac:dyDescent="0.3">
      <c r="A25" s="18" t="s">
        <v>78</v>
      </c>
      <c r="B25" s="13">
        <f>B26-B23</f>
        <v>3.1800000000000637</v>
      </c>
      <c r="C25" s="12">
        <v>3.18</v>
      </c>
      <c r="D25" s="13">
        <f t="shared" si="0"/>
        <v>0</v>
      </c>
    </row>
    <row r="26" spans="1:4" x14ac:dyDescent="0.3">
      <c r="A26" s="9" t="s">
        <v>79</v>
      </c>
      <c r="B26" s="19">
        <f>IF($B$5="real_inteiro",ROUNDUP(B23,0),IF($B$5="dezena",ROUNDUP(B23/10,0)*10,B23))</f>
        <v>1360</v>
      </c>
      <c r="C26" s="12">
        <v>1360</v>
      </c>
      <c r="D26" s="13">
        <f t="shared" si="0"/>
        <v>0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6"/>
  <sheetViews>
    <sheetView workbookViewId="0">
      <pane ySplit="2" topLeftCell="A27" activePane="bottomLeft" state="frozen"/>
      <selection pane="bottomLeft" activeCell="B15" sqref="B15"/>
    </sheetView>
  </sheetViews>
  <sheetFormatPr defaultRowHeight="14.4" x14ac:dyDescent="0.3"/>
  <cols>
    <col min="1" max="1" width="30" customWidth="1"/>
    <col min="2" max="2" width="34" customWidth="1"/>
    <col min="3" max="4" width="18" customWidth="1"/>
    <col min="5" max="5" width="16" customWidth="1"/>
  </cols>
  <sheetData>
    <row r="1" spans="1:5" ht="17.399999999999999" x14ac:dyDescent="0.3">
      <c r="A1" s="1" t="s">
        <v>102</v>
      </c>
    </row>
    <row r="3" spans="1:5" x14ac:dyDescent="0.3">
      <c r="A3" s="4" t="s">
        <v>53</v>
      </c>
      <c r="B3" s="10" t="s">
        <v>54</v>
      </c>
    </row>
    <row r="4" spans="1:5" x14ac:dyDescent="0.3">
      <c r="A4" s="4" t="s">
        <v>55</v>
      </c>
      <c r="B4" s="15">
        <v>25</v>
      </c>
    </row>
    <row r="5" spans="1:5" x14ac:dyDescent="0.3">
      <c r="A5" s="4" t="s">
        <v>56</v>
      </c>
      <c r="B5" s="10" t="s">
        <v>57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63</v>
      </c>
      <c r="B10" s="10" t="s">
        <v>64</v>
      </c>
      <c r="C10" s="16">
        <v>4</v>
      </c>
      <c r="D10" s="17">
        <v>289.89999999999998</v>
      </c>
      <c r="E10" s="13">
        <f t="shared" ref="E10:E21" si="0">ROUND(C10*D10,2)</f>
        <v>1159.5999999999999</v>
      </c>
    </row>
    <row r="11" spans="1:5" x14ac:dyDescent="0.3">
      <c r="A11" s="10" t="s">
        <v>63</v>
      </c>
      <c r="B11" s="10" t="s">
        <v>103</v>
      </c>
      <c r="C11" s="16">
        <v>2</v>
      </c>
      <c r="D11" s="17">
        <v>169.9</v>
      </c>
      <c r="E11" s="13">
        <f t="shared" si="0"/>
        <v>339.8</v>
      </c>
    </row>
    <row r="12" spans="1:5" x14ac:dyDescent="0.3">
      <c r="A12" s="10" t="s">
        <v>63</v>
      </c>
      <c r="B12" s="10" t="s">
        <v>83</v>
      </c>
      <c r="C12" s="16">
        <v>85</v>
      </c>
      <c r="D12" s="17">
        <v>1.2350000000000001</v>
      </c>
      <c r="E12" s="13">
        <f t="shared" si="0"/>
        <v>104.98</v>
      </c>
    </row>
    <row r="13" spans="1:5" x14ac:dyDescent="0.3">
      <c r="A13" s="10" t="s">
        <v>63</v>
      </c>
      <c r="B13" s="10" t="s">
        <v>84</v>
      </c>
      <c r="C13" s="16">
        <v>10</v>
      </c>
      <c r="D13" s="17">
        <v>34.5</v>
      </c>
      <c r="E13" s="13">
        <f t="shared" si="0"/>
        <v>345</v>
      </c>
    </row>
    <row r="14" spans="1:5" x14ac:dyDescent="0.3">
      <c r="A14" s="10" t="s">
        <v>63</v>
      </c>
      <c r="B14" s="10" t="s">
        <v>85</v>
      </c>
      <c r="C14" s="16">
        <v>24</v>
      </c>
      <c r="D14" s="17">
        <v>8.9</v>
      </c>
      <c r="E14" s="13">
        <f t="shared" si="0"/>
        <v>213.6</v>
      </c>
    </row>
    <row r="15" spans="1:5" x14ac:dyDescent="0.3">
      <c r="A15" s="10" t="s">
        <v>63</v>
      </c>
      <c r="B15" s="10" t="s">
        <v>104</v>
      </c>
      <c r="C15" s="16">
        <v>12</v>
      </c>
      <c r="D15" s="17">
        <v>12.75</v>
      </c>
      <c r="E15" s="13">
        <f t="shared" si="0"/>
        <v>153</v>
      </c>
    </row>
    <row r="16" spans="1:5" x14ac:dyDescent="0.3">
      <c r="A16" s="10" t="s">
        <v>63</v>
      </c>
      <c r="B16" s="10" t="s">
        <v>105</v>
      </c>
      <c r="C16" s="16">
        <v>2</v>
      </c>
      <c r="D16" s="17">
        <v>18.899999999999999</v>
      </c>
      <c r="E16" s="13">
        <f t="shared" si="0"/>
        <v>37.799999999999997</v>
      </c>
    </row>
    <row r="17" spans="1:5" x14ac:dyDescent="0.3">
      <c r="A17" s="10" t="s">
        <v>63</v>
      </c>
      <c r="B17" s="10" t="s">
        <v>94</v>
      </c>
      <c r="C17" s="16">
        <v>1</v>
      </c>
      <c r="D17" s="17">
        <v>23.99</v>
      </c>
      <c r="E17" s="13">
        <f t="shared" si="0"/>
        <v>23.99</v>
      </c>
    </row>
    <row r="18" spans="1:5" x14ac:dyDescent="0.3">
      <c r="A18" s="10" t="s">
        <v>63</v>
      </c>
      <c r="B18" s="10" t="s">
        <v>106</v>
      </c>
      <c r="C18" s="16">
        <v>8</v>
      </c>
      <c r="D18" s="17">
        <v>4.3499999999999996</v>
      </c>
      <c r="E18" s="13">
        <f t="shared" si="0"/>
        <v>34.799999999999997</v>
      </c>
    </row>
    <row r="19" spans="1:5" x14ac:dyDescent="0.3">
      <c r="A19" s="10" t="s">
        <v>86</v>
      </c>
      <c r="B19" s="10" t="s">
        <v>87</v>
      </c>
      <c r="C19" s="16">
        <v>14</v>
      </c>
      <c r="D19" s="17">
        <v>45</v>
      </c>
      <c r="E19" s="13">
        <f t="shared" si="0"/>
        <v>630</v>
      </c>
    </row>
    <row r="20" spans="1:5" x14ac:dyDescent="0.3">
      <c r="A20" s="10" t="s">
        <v>86</v>
      </c>
      <c r="B20" s="10" t="s">
        <v>88</v>
      </c>
      <c r="C20" s="16">
        <v>10</v>
      </c>
      <c r="D20" s="17">
        <v>55</v>
      </c>
      <c r="E20" s="13">
        <f t="shared" si="0"/>
        <v>550</v>
      </c>
    </row>
    <row r="21" spans="1:5" x14ac:dyDescent="0.3">
      <c r="A21" s="10" t="s">
        <v>86</v>
      </c>
      <c r="B21" s="10" t="s">
        <v>97</v>
      </c>
      <c r="C21" s="16">
        <v>3</v>
      </c>
      <c r="D21" s="17">
        <v>80</v>
      </c>
      <c r="E21" s="13">
        <f t="shared" si="0"/>
        <v>240</v>
      </c>
    </row>
    <row r="23" spans="1:5" x14ac:dyDescent="0.3">
      <c r="A23" s="3" t="s">
        <v>65</v>
      </c>
    </row>
    <row r="24" spans="1:5" x14ac:dyDescent="0.3">
      <c r="A24" s="8" t="s">
        <v>24</v>
      </c>
      <c r="B24" s="8" t="s">
        <v>66</v>
      </c>
    </row>
    <row r="25" spans="1:5" x14ac:dyDescent="0.3">
      <c r="A25" s="10" t="s">
        <v>67</v>
      </c>
      <c r="B25" s="12">
        <v>0</v>
      </c>
    </row>
    <row r="27" spans="1:5" x14ac:dyDescent="0.3">
      <c r="A27" s="3" t="s">
        <v>68</v>
      </c>
    </row>
    <row r="28" spans="1:5" x14ac:dyDescent="0.3">
      <c r="A28" s="8" t="s">
        <v>69</v>
      </c>
      <c r="B28" s="8" t="s">
        <v>70</v>
      </c>
      <c r="C28" s="8" t="s">
        <v>71</v>
      </c>
      <c r="D28" s="8" t="s">
        <v>29</v>
      </c>
    </row>
    <row r="29" spans="1:5" x14ac:dyDescent="0.3">
      <c r="A29" s="18" t="s">
        <v>72</v>
      </c>
      <c r="B29" s="13">
        <f>SUMIF($A$10:$A$21,"material",$E$10:$E$21)</f>
        <v>2412.5700000000002</v>
      </c>
      <c r="C29" s="12">
        <v>2412.5700000000002</v>
      </c>
      <c r="D29" s="13">
        <f t="shared" ref="D29:D36" si="1">ROUND(B29-C29,2)</f>
        <v>0</v>
      </c>
    </row>
    <row r="30" spans="1:5" x14ac:dyDescent="0.3">
      <c r="A30" s="18" t="s">
        <v>73</v>
      </c>
      <c r="B30" s="13">
        <f>SUMIF($A$10:$A$21,"servico",$E$10:$E$21)</f>
        <v>1420</v>
      </c>
      <c r="C30" s="12">
        <v>1420</v>
      </c>
      <c r="D30" s="13">
        <f t="shared" si="1"/>
        <v>0</v>
      </c>
    </row>
    <row r="31" spans="1:5" x14ac:dyDescent="0.3">
      <c r="A31" s="18" t="s">
        <v>74</v>
      </c>
      <c r="B31" s="13">
        <f>SUM(B25:B25)</f>
        <v>0</v>
      </c>
      <c r="C31" s="12">
        <v>0</v>
      </c>
      <c r="D31" s="13">
        <f t="shared" si="1"/>
        <v>0</v>
      </c>
    </row>
    <row r="32" spans="1:5" x14ac:dyDescent="0.3">
      <c r="A32" s="9" t="s">
        <v>75</v>
      </c>
      <c r="B32" s="19">
        <f>B29+B30+B31</f>
        <v>3832.57</v>
      </c>
      <c r="C32" s="12">
        <v>3832.57</v>
      </c>
      <c r="D32" s="13">
        <f t="shared" si="1"/>
        <v>0</v>
      </c>
    </row>
    <row r="33" spans="1:4" x14ac:dyDescent="0.3">
      <c r="A33" s="18" t="s">
        <v>76</v>
      </c>
      <c r="B33" s="13">
        <f>IF($B$3="margem",ROUND(B32/(1-$B$4/100),2),ROUND(B32*(1+$B$4/100),2))</f>
        <v>5110.09</v>
      </c>
      <c r="C33" s="12">
        <v>5110.09</v>
      </c>
      <c r="D33" s="13">
        <f t="shared" si="1"/>
        <v>0</v>
      </c>
    </row>
    <row r="34" spans="1:4" x14ac:dyDescent="0.3">
      <c r="A34" s="18" t="s">
        <v>77</v>
      </c>
      <c r="B34" s="13">
        <f>B33-B32</f>
        <v>1277.52</v>
      </c>
      <c r="C34" s="12">
        <v>1277.52</v>
      </c>
      <c r="D34" s="13">
        <f t="shared" si="1"/>
        <v>0</v>
      </c>
    </row>
    <row r="35" spans="1:4" x14ac:dyDescent="0.3">
      <c r="A35" s="18" t="s">
        <v>78</v>
      </c>
      <c r="B35" s="13">
        <f>B36-B33</f>
        <v>0</v>
      </c>
      <c r="C35" s="12">
        <v>0</v>
      </c>
      <c r="D35" s="13">
        <f t="shared" si="1"/>
        <v>0</v>
      </c>
    </row>
    <row r="36" spans="1:4" x14ac:dyDescent="0.3">
      <c r="A36" s="9" t="s">
        <v>79</v>
      </c>
      <c r="B36" s="19">
        <f>IF($B$5="real_inteiro",ROUNDUP(B33,0),IF($B$5="dezena",ROUNDUP(B33/10,0)*10,B33))</f>
        <v>5110.09</v>
      </c>
      <c r="C36" s="12">
        <v>5110.09</v>
      </c>
      <c r="D36" s="13">
        <f t="shared" si="1"/>
        <v>0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workbookViewId="0">
      <pane ySplit="2" topLeftCell="A9" activePane="bottomLeft" state="frozen"/>
      <selection pane="bottomLeft" activeCell="B11" sqref="B11"/>
    </sheetView>
  </sheetViews>
  <sheetFormatPr defaultRowHeight="14.4" x14ac:dyDescent="0.3"/>
  <cols>
    <col min="1" max="1" width="30" customWidth="1"/>
    <col min="2" max="2" width="34" customWidth="1"/>
    <col min="3" max="4" width="18" customWidth="1"/>
    <col min="5" max="5" width="16" customWidth="1"/>
  </cols>
  <sheetData>
    <row r="1" spans="1:5" ht="17.399999999999999" x14ac:dyDescent="0.3">
      <c r="A1" s="1" t="s">
        <v>107</v>
      </c>
    </row>
    <row r="3" spans="1:5" x14ac:dyDescent="0.3">
      <c r="A3" s="4" t="s">
        <v>53</v>
      </c>
      <c r="B3" s="10" t="s">
        <v>54</v>
      </c>
    </row>
    <row r="4" spans="1:5" x14ac:dyDescent="0.3">
      <c r="A4" s="4" t="s">
        <v>55</v>
      </c>
      <c r="B4" s="15">
        <v>60</v>
      </c>
    </row>
    <row r="5" spans="1:5" x14ac:dyDescent="0.3">
      <c r="A5" s="4" t="s">
        <v>56</v>
      </c>
      <c r="B5" s="10" t="s">
        <v>96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63</v>
      </c>
      <c r="B10" s="10" t="s">
        <v>108</v>
      </c>
      <c r="C10" s="16">
        <v>2.25</v>
      </c>
      <c r="D10" s="17">
        <v>412.33</v>
      </c>
      <c r="E10" s="13">
        <f>ROUND(C10*D10,2)</f>
        <v>927.74</v>
      </c>
    </row>
    <row r="11" spans="1:5" x14ac:dyDescent="0.3">
      <c r="A11" s="10" t="s">
        <v>86</v>
      </c>
      <c r="B11" s="10" t="s">
        <v>109</v>
      </c>
      <c r="C11" s="16">
        <v>6</v>
      </c>
      <c r="D11" s="17">
        <v>65</v>
      </c>
      <c r="E11" s="13">
        <f>ROUND(C11*D11,2)</f>
        <v>390</v>
      </c>
    </row>
    <row r="13" spans="1:5" x14ac:dyDescent="0.3">
      <c r="A13" s="3" t="s">
        <v>65</v>
      </c>
    </row>
    <row r="14" spans="1:5" x14ac:dyDescent="0.3">
      <c r="A14" s="8" t="s">
        <v>24</v>
      </c>
      <c r="B14" s="8" t="s">
        <v>66</v>
      </c>
    </row>
    <row r="15" spans="1:5" x14ac:dyDescent="0.3">
      <c r="A15" s="10" t="s">
        <v>89</v>
      </c>
      <c r="B15" s="12">
        <v>75</v>
      </c>
    </row>
    <row r="17" spans="1:4" x14ac:dyDescent="0.3">
      <c r="A17" s="3" t="s">
        <v>68</v>
      </c>
    </row>
    <row r="18" spans="1:4" x14ac:dyDescent="0.3">
      <c r="A18" s="8" t="s">
        <v>69</v>
      </c>
      <c r="B18" s="8" t="s">
        <v>70</v>
      </c>
      <c r="C18" s="8" t="s">
        <v>71</v>
      </c>
      <c r="D18" s="8" t="s">
        <v>29</v>
      </c>
    </row>
    <row r="19" spans="1:4" x14ac:dyDescent="0.3">
      <c r="A19" s="18" t="s">
        <v>72</v>
      </c>
      <c r="B19" s="13">
        <f>SUMIF($A$10:$A$11,"material",$E$10:$E$11)</f>
        <v>927.74</v>
      </c>
      <c r="C19" s="12">
        <v>927.74</v>
      </c>
      <c r="D19" s="13">
        <f t="shared" ref="D19:D26" si="0">ROUND(B19-C19,2)</f>
        <v>0</v>
      </c>
    </row>
    <row r="20" spans="1:4" x14ac:dyDescent="0.3">
      <c r="A20" s="18" t="s">
        <v>73</v>
      </c>
      <c r="B20" s="13">
        <f>SUMIF($A$10:$A$11,"servico",$E$10:$E$11)</f>
        <v>390</v>
      </c>
      <c r="C20" s="12">
        <v>390</v>
      </c>
      <c r="D20" s="13">
        <f t="shared" si="0"/>
        <v>0</v>
      </c>
    </row>
    <row r="21" spans="1:4" x14ac:dyDescent="0.3">
      <c r="A21" s="18" t="s">
        <v>74</v>
      </c>
      <c r="B21" s="13">
        <f>SUM(B15:B15)</f>
        <v>75</v>
      </c>
      <c r="C21" s="12">
        <v>75</v>
      </c>
      <c r="D21" s="13">
        <f t="shared" si="0"/>
        <v>0</v>
      </c>
    </row>
    <row r="22" spans="1:4" x14ac:dyDescent="0.3">
      <c r="A22" s="9" t="s">
        <v>75</v>
      </c>
      <c r="B22" s="19">
        <f>B19+B20+B21</f>
        <v>1392.74</v>
      </c>
      <c r="C22" s="12">
        <v>1392.74</v>
      </c>
      <c r="D22" s="13">
        <f t="shared" si="0"/>
        <v>0</v>
      </c>
    </row>
    <row r="23" spans="1:4" x14ac:dyDescent="0.3">
      <c r="A23" s="18" t="s">
        <v>76</v>
      </c>
      <c r="B23" s="13">
        <f>IF($B$3="margem",ROUND(B22/(1-$B$4/100),2),ROUND(B22*(1+$B$4/100),2))</f>
        <v>3481.85</v>
      </c>
      <c r="C23" s="12">
        <v>3481.85</v>
      </c>
      <c r="D23" s="13">
        <f t="shared" si="0"/>
        <v>0</v>
      </c>
    </row>
    <row r="24" spans="1:4" x14ac:dyDescent="0.3">
      <c r="A24" s="18" t="s">
        <v>77</v>
      </c>
      <c r="B24" s="13">
        <f>B23-B22</f>
        <v>2089.1099999999997</v>
      </c>
      <c r="C24" s="12">
        <v>2089.11</v>
      </c>
      <c r="D24" s="13">
        <f t="shared" si="0"/>
        <v>0</v>
      </c>
    </row>
    <row r="25" spans="1:4" x14ac:dyDescent="0.3">
      <c r="A25" s="18" t="s">
        <v>78</v>
      </c>
      <c r="B25" s="13">
        <f>B26-B23</f>
        <v>0.15000000000009095</v>
      </c>
      <c r="C25" s="12">
        <v>0.15</v>
      </c>
      <c r="D25" s="13">
        <f t="shared" si="0"/>
        <v>0</v>
      </c>
    </row>
    <row r="26" spans="1:4" x14ac:dyDescent="0.3">
      <c r="A26" s="9" t="s">
        <v>79</v>
      </c>
      <c r="B26" s="19">
        <f>IF($B$5="real_inteiro",ROUNDUP(B23,0),IF($B$5="dezena",ROUNDUP(B23/10,0)*10,B23))</f>
        <v>3482</v>
      </c>
      <c r="C26" s="12">
        <v>3482</v>
      </c>
      <c r="D26" s="13">
        <f t="shared" si="0"/>
        <v>0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"/>
  <sheetViews>
    <sheetView workbookViewId="0">
      <pane ySplit="2" topLeftCell="A3" activePane="bottomLeft" state="frozen"/>
      <selection pane="bottomLeft" activeCell="B10" sqref="B10"/>
    </sheetView>
  </sheetViews>
  <sheetFormatPr defaultRowHeight="14.4" x14ac:dyDescent="0.3"/>
  <cols>
    <col min="1" max="1" width="30" customWidth="1"/>
    <col min="2" max="2" width="34" customWidth="1"/>
    <col min="3" max="4" width="18" customWidth="1"/>
    <col min="5" max="5" width="16" customWidth="1"/>
  </cols>
  <sheetData>
    <row r="1" spans="1:5" ht="17.399999999999999" x14ac:dyDescent="0.3">
      <c r="A1" s="1" t="s">
        <v>110</v>
      </c>
    </row>
    <row r="3" spans="1:5" x14ac:dyDescent="0.3">
      <c r="A3" s="4" t="s">
        <v>53</v>
      </c>
      <c r="B3" s="10" t="s">
        <v>92</v>
      </c>
    </row>
    <row r="4" spans="1:5" x14ac:dyDescent="0.3">
      <c r="A4" s="4" t="s">
        <v>55</v>
      </c>
      <c r="B4" s="15">
        <v>0</v>
      </c>
    </row>
    <row r="5" spans="1:5" x14ac:dyDescent="0.3">
      <c r="A5" s="4" t="s">
        <v>56</v>
      </c>
      <c r="B5" s="10" t="s">
        <v>57</v>
      </c>
    </row>
    <row r="8" spans="1:5" x14ac:dyDescent="0.3">
      <c r="A8" s="3" t="s">
        <v>58</v>
      </c>
    </row>
    <row r="9" spans="1:5" x14ac:dyDescent="0.3">
      <c r="A9" s="8" t="s">
        <v>59</v>
      </c>
      <c r="B9" s="8" t="s">
        <v>24</v>
      </c>
      <c r="C9" s="8" t="s">
        <v>60</v>
      </c>
      <c r="D9" s="8" t="s">
        <v>61</v>
      </c>
      <c r="E9" s="8" t="s">
        <v>62</v>
      </c>
    </row>
    <row r="10" spans="1:5" x14ac:dyDescent="0.3">
      <c r="A10" s="10" t="s">
        <v>86</v>
      </c>
      <c r="B10" s="10" t="s">
        <v>111</v>
      </c>
      <c r="C10" s="16">
        <v>0.5</v>
      </c>
      <c r="D10" s="17">
        <v>45</v>
      </c>
      <c r="E10" s="13">
        <f>ROUND(C10*D10,2)</f>
        <v>22.5</v>
      </c>
    </row>
    <row r="12" spans="1:5" x14ac:dyDescent="0.3">
      <c r="A12" s="3" t="s">
        <v>65</v>
      </c>
    </row>
    <row r="13" spans="1:5" x14ac:dyDescent="0.3">
      <c r="A13" s="8" t="s">
        <v>24</v>
      </c>
      <c r="B13" s="8" t="s">
        <v>66</v>
      </c>
    </row>
    <row r="14" spans="1:5" x14ac:dyDescent="0.3">
      <c r="A14" s="10" t="s">
        <v>67</v>
      </c>
      <c r="B14" s="12">
        <v>0</v>
      </c>
    </row>
    <row r="16" spans="1:5" x14ac:dyDescent="0.3">
      <c r="A16" s="3" t="s">
        <v>68</v>
      </c>
    </row>
    <row r="17" spans="1:4" x14ac:dyDescent="0.3">
      <c r="A17" s="8" t="s">
        <v>69</v>
      </c>
      <c r="B17" s="8" t="s">
        <v>70</v>
      </c>
      <c r="C17" s="8" t="s">
        <v>71</v>
      </c>
      <c r="D17" s="8" t="s">
        <v>29</v>
      </c>
    </row>
    <row r="18" spans="1:4" x14ac:dyDescent="0.3">
      <c r="A18" s="18" t="s">
        <v>72</v>
      </c>
      <c r="B18" s="13">
        <f>SUMIF($A$10:$A$10,"material",$E$10:$E$10)</f>
        <v>0</v>
      </c>
      <c r="C18" s="12">
        <v>0</v>
      </c>
      <c r="D18" s="13">
        <f t="shared" ref="D18:D25" si="0">ROUND(B18-C18,2)</f>
        <v>0</v>
      </c>
    </row>
    <row r="19" spans="1:4" x14ac:dyDescent="0.3">
      <c r="A19" s="18" t="s">
        <v>73</v>
      </c>
      <c r="B19" s="13">
        <f>SUMIF($A$10:$A$10,"servico",$E$10:$E$10)</f>
        <v>22.5</v>
      </c>
      <c r="C19" s="12">
        <v>22.5</v>
      </c>
      <c r="D19" s="13">
        <f t="shared" si="0"/>
        <v>0</v>
      </c>
    </row>
    <row r="20" spans="1:4" x14ac:dyDescent="0.3">
      <c r="A20" s="18" t="s">
        <v>74</v>
      </c>
      <c r="B20" s="13">
        <f>SUM(B14:B14)</f>
        <v>0</v>
      </c>
      <c r="C20" s="12">
        <v>0</v>
      </c>
      <c r="D20" s="13">
        <f t="shared" si="0"/>
        <v>0</v>
      </c>
    </row>
    <row r="21" spans="1:4" x14ac:dyDescent="0.3">
      <c r="A21" s="9" t="s">
        <v>75</v>
      </c>
      <c r="B21" s="19">
        <f>B18+B19+B20</f>
        <v>22.5</v>
      </c>
      <c r="C21" s="12">
        <v>22.5</v>
      </c>
      <c r="D21" s="13">
        <f t="shared" si="0"/>
        <v>0</v>
      </c>
    </row>
    <row r="22" spans="1:4" x14ac:dyDescent="0.3">
      <c r="A22" s="18" t="s">
        <v>76</v>
      </c>
      <c r="B22" s="13">
        <f>IF($B$3="margem",ROUND(B21/(1-$B$4/100),2),ROUND(B21*(1+$B$4/100),2))</f>
        <v>22.5</v>
      </c>
      <c r="C22" s="12">
        <v>22.5</v>
      </c>
      <c r="D22" s="13">
        <f t="shared" si="0"/>
        <v>0</v>
      </c>
    </row>
    <row r="23" spans="1:4" x14ac:dyDescent="0.3">
      <c r="A23" s="18" t="s">
        <v>77</v>
      </c>
      <c r="B23" s="13">
        <f>B22-B21</f>
        <v>0</v>
      </c>
      <c r="C23" s="12">
        <v>0</v>
      </c>
      <c r="D23" s="13">
        <f t="shared" si="0"/>
        <v>0</v>
      </c>
    </row>
    <row r="24" spans="1:4" x14ac:dyDescent="0.3">
      <c r="A24" s="18" t="s">
        <v>78</v>
      </c>
      <c r="B24" s="13">
        <f>B25-B22</f>
        <v>0</v>
      </c>
      <c r="C24" s="12">
        <v>0</v>
      </c>
      <c r="D24" s="13">
        <f t="shared" si="0"/>
        <v>0</v>
      </c>
    </row>
    <row r="25" spans="1:4" x14ac:dyDescent="0.3">
      <c r="A25" s="9" t="s">
        <v>79</v>
      </c>
      <c r="B25" s="19">
        <f>IF($B$5="real_inteiro",ROUNDUP(B22,0),IF($B$5="dezena",ROUNDUP(B22/10,0)*10,B22))</f>
        <v>22.5</v>
      </c>
      <c r="C25" s="12">
        <v>22.5</v>
      </c>
      <c r="D25" s="13">
        <f t="shared" si="0"/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Instruções</vt:lpstr>
      <vt:lpstr>Resumo</vt:lpstr>
      <vt:lpstr>CT01</vt:lpstr>
      <vt:lpstr>CT02</vt:lpstr>
      <vt:lpstr>CT03</vt:lpstr>
      <vt:lpstr>CT04</vt:lpstr>
      <vt:lpstr>CT05</vt:lpstr>
      <vt:lpstr>CT06</vt:lpstr>
      <vt:lpstr>CT07</vt:lpstr>
      <vt:lpstr>CT08</vt:lpstr>
      <vt:lpstr>CT09</vt:lpstr>
      <vt:lpstr>CT10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Taiane Rufatto</cp:lastModifiedBy>
  <dcterms:created xsi:type="dcterms:W3CDTF">2026-09-28T21:00:53Z</dcterms:created>
  <dcterms:modified xsi:type="dcterms:W3CDTF">2026-09-30T18:49:20Z</dcterms:modified>
</cp:coreProperties>
</file>